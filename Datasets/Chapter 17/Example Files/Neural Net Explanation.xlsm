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17925" windowHeight="9330"/>
  </bookViews>
  <sheets>
    <sheet name="One input" sheetId="1" r:id="rId1"/>
    <sheet name="Two inputs" sheetId="2" r:id="rId2"/>
    <sheet name="Logistic function" sheetId="4" r:id="rId3"/>
  </sheets>
  <functionGroups builtInGroupCount="17"/>
  <calcPr calcId="152511"/>
</workbook>
</file>

<file path=xl/calcChain.xml><?xml version="1.0" encoding="utf-8"?>
<calcChain xmlns="http://schemas.openxmlformats.org/spreadsheetml/2006/main">
  <c r="C9" i="2" l="1"/>
  <c r="B9" i="2"/>
  <c r="B9" i="1"/>
  <c r="C11" i="1" s="1"/>
  <c r="B2" i="4"/>
  <c r="B10" i="4"/>
  <c r="B18" i="4"/>
  <c r="B26" i="4"/>
  <c r="B34" i="4"/>
  <c r="B42" i="4"/>
  <c r="B50" i="4"/>
  <c r="B58" i="4"/>
  <c r="B66" i="4"/>
  <c r="B3" i="4"/>
  <c r="B11" i="4"/>
  <c r="B19" i="4"/>
  <c r="B27" i="4"/>
  <c r="B35" i="4"/>
  <c r="B43" i="4"/>
  <c r="B51" i="4"/>
  <c r="B59" i="4"/>
  <c r="B67" i="4"/>
  <c r="B4" i="4"/>
  <c r="B12" i="4"/>
  <c r="B20" i="4"/>
  <c r="B28" i="4"/>
  <c r="B36" i="4"/>
  <c r="B44" i="4"/>
  <c r="B60" i="4"/>
  <c r="B21" i="4"/>
  <c r="B37" i="4"/>
  <c r="B53" i="4"/>
  <c r="B69" i="4"/>
  <c r="B6" i="4"/>
  <c r="B14" i="4"/>
  <c r="B22" i="4"/>
  <c r="B30" i="4"/>
  <c r="B38" i="4"/>
  <c r="B46" i="4"/>
  <c r="B54" i="4"/>
  <c r="B62" i="4"/>
  <c r="B70" i="4"/>
  <c r="C12" i="1"/>
  <c r="B7" i="4"/>
  <c r="B15" i="4"/>
  <c r="B23" i="4"/>
  <c r="B31" i="4"/>
  <c r="B39" i="4"/>
  <c r="B47" i="4"/>
  <c r="B55" i="4"/>
  <c r="B63" i="4"/>
  <c r="B71" i="4"/>
  <c r="B8" i="4"/>
  <c r="B16" i="4"/>
  <c r="B24" i="4"/>
  <c r="B32" i="4"/>
  <c r="B40" i="4"/>
  <c r="B48" i="4"/>
  <c r="B56" i="4"/>
  <c r="B64" i="4"/>
  <c r="B72" i="4"/>
  <c r="B9" i="4"/>
  <c r="B17" i="4"/>
  <c r="B25" i="4"/>
  <c r="B33" i="4"/>
  <c r="B41" i="4"/>
  <c r="B49" i="4"/>
  <c r="B57" i="4"/>
  <c r="B65" i="4"/>
  <c r="B52" i="4"/>
  <c r="B68" i="4"/>
  <c r="B5" i="4"/>
  <c r="B13" i="4"/>
  <c r="B29" i="4"/>
  <c r="B45" i="4"/>
  <c r="B61" i="4"/>
  <c r="B11" i="2" l="1"/>
  <c r="C11" i="2"/>
  <c r="B11" i="1"/>
  <c r="B12" i="2"/>
  <c r="B12" i="1"/>
  <c r="C12" i="2"/>
  <c r="B14" i="2" l="1"/>
  <c r="B14" i="1"/>
  <c r="B15" i="1"/>
  <c r="B15" i="2"/>
  <c r="B16" i="2" l="1"/>
  <c r="A19" i="2" s="1"/>
  <c r="B16" i="1"/>
  <c r="B20" i="1" s="1"/>
</calcChain>
</file>

<file path=xl/sharedStrings.xml><?xml version="1.0" encoding="utf-8"?>
<sst xmlns="http://schemas.openxmlformats.org/spreadsheetml/2006/main" count="39" uniqueCount="25">
  <si>
    <t>Input</t>
  </si>
  <si>
    <t>Output</t>
  </si>
  <si>
    <t>Outputs from H1, H2</t>
  </si>
  <si>
    <t>Inputs to H1, H2</t>
  </si>
  <si>
    <t>Scaled input</t>
  </si>
  <si>
    <t>Min</t>
  </si>
  <si>
    <t>Max</t>
  </si>
  <si>
    <t>A neural net with two inputs and two hidden nodes in a single hidden layer</t>
  </si>
  <si>
    <t>Typical calculation</t>
  </si>
  <si>
    <t>Input 1</t>
  </si>
  <si>
    <t>Input 2</t>
  </si>
  <si>
    <t>Scaled inputs</t>
  </si>
  <si>
    <t>Data table for output (input 1 along side, input 2 along top)</t>
  </si>
  <si>
    <t>A neural net with one input and two hidden nodes in a single hidden layer</t>
  </si>
  <si>
    <t>Input to output node</t>
  </si>
  <si>
    <t>Inputs</t>
  </si>
  <si>
    <t>Scale of inputs and output</t>
  </si>
  <si>
    <t>Scale of input and output</t>
  </si>
  <si>
    <t>Scaled output</t>
  </si>
  <si>
    <t>Weights W11, W12</t>
  </si>
  <si>
    <t>Weights W10, W20</t>
  </si>
  <si>
    <t>Weights W11, W21, W12, W22</t>
  </si>
  <si>
    <t>x</t>
  </si>
  <si>
    <t>logistic(x)</t>
  </si>
  <si>
    <t>Data table for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</si>
</sst>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name val="Calibri"/>
      <family val="2"/>
    </font>
    <font>
      <sz val="8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2" fontId="3" fillId="0" borderId="0" xfId="0" applyNumberFormat="1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/>
    <xf numFmtId="0" fontId="4" fillId="2" borderId="0" xfId="0" applyFont="1" applyFill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578979830365783E-2"/>
          <c:y val="5.6603877881555652E-2"/>
          <c:w val="0.92842200701275379"/>
          <c:h val="0.89056767866980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655616"/>
        <c:axId val="222834688"/>
      </c:barChart>
      <c:catAx>
        <c:axId val="2226556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2834688"/>
        <c:crosses val="autoZero"/>
        <c:auto val="1"/>
        <c:lblAlgn val="ctr"/>
        <c:lblOffset val="100"/>
        <c:tickMarkSkip val="1"/>
        <c:noMultiLvlLbl val="0"/>
      </c:catAx>
      <c:valAx>
        <c:axId val="222834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26556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8315890538538797"/>
          <c:y val="0.50188771721646008"/>
          <c:w val="0"/>
          <c:h val="3.7735918587703788E-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'One input'!$A$21:$A$39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'One input'!$B$21:$B$39</c:f>
              <c:numCache>
                <c:formatCode>General</c:formatCode>
                <c:ptCount val="19"/>
                <c:pt idx="0">
                  <c:v>684.82836484909058</c:v>
                </c:pt>
                <c:pt idx="1">
                  <c:v>683.83216857910156</c:v>
                </c:pt>
                <c:pt idx="2">
                  <c:v>682.81774520874023</c:v>
                </c:pt>
                <c:pt idx="3">
                  <c:v>681.82832002639771</c:v>
                </c:pt>
                <c:pt idx="4">
                  <c:v>680.90702295303345</c:v>
                </c:pt>
                <c:pt idx="5">
                  <c:v>680.0917387008667</c:v>
                </c:pt>
                <c:pt idx="6">
                  <c:v>679.41110134124756</c:v>
                </c:pt>
                <c:pt idx="7">
                  <c:v>678.88230085372925</c:v>
                </c:pt>
                <c:pt idx="8">
                  <c:v>678.51098775863647</c:v>
                </c:pt>
                <c:pt idx="9">
                  <c:v>678.29281091690063</c:v>
                </c:pt>
                <c:pt idx="10">
                  <c:v>678.21590900421143</c:v>
                </c:pt>
                <c:pt idx="11">
                  <c:v>678.26358079910278</c:v>
                </c:pt>
                <c:pt idx="12">
                  <c:v>678.4168004989624</c:v>
                </c:pt>
                <c:pt idx="13">
                  <c:v>678.65614891052246</c:v>
                </c:pt>
                <c:pt idx="14">
                  <c:v>678.9631724357605</c:v>
                </c:pt>
                <c:pt idx="15">
                  <c:v>679.32116985321045</c:v>
                </c:pt>
                <c:pt idx="16">
                  <c:v>679.71565723419189</c:v>
                </c:pt>
                <c:pt idx="17">
                  <c:v>680.13440370559692</c:v>
                </c:pt>
                <c:pt idx="18">
                  <c:v>680.5673360824585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885760"/>
        <c:axId val="223031296"/>
      </c:lineChart>
      <c:catAx>
        <c:axId val="222885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3031296"/>
        <c:crosses val="autoZero"/>
        <c:auto val="1"/>
        <c:lblAlgn val="ctr"/>
        <c:lblOffset val="100"/>
        <c:noMultiLvlLbl val="0"/>
      </c:catAx>
      <c:valAx>
        <c:axId val="223031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Output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2885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"/>
      <c:depthPercent val="100"/>
      <c:rAngAx val="0"/>
      <c:perspective val="3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8.6876233678439899E-2"/>
          <c:y val="4.0000000000000008E-2"/>
          <c:w val="0.68576771690853622"/>
          <c:h val="0.7914285714285717"/>
        </c:manualLayout>
      </c:layout>
      <c:surface3DChart>
        <c:wireframe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inputs'!$B$20:$L$20</c:f>
              <c:numCache>
                <c:formatCode>General</c:formatCode>
                <c:ptCount val="11"/>
                <c:pt idx="0">
                  <c:v>66.31101667881012</c:v>
                </c:pt>
                <c:pt idx="1">
                  <c:v>110.080286860466</c:v>
                </c:pt>
                <c:pt idx="2">
                  <c:v>149.7504711151123</c:v>
                </c:pt>
                <c:pt idx="3">
                  <c:v>181.77953362464905</c:v>
                </c:pt>
                <c:pt idx="4">
                  <c:v>205.35176992416382</c:v>
                </c:pt>
                <c:pt idx="5">
                  <c:v>221.56679630279541</c:v>
                </c:pt>
                <c:pt idx="6">
                  <c:v>232.21860826015472</c:v>
                </c:pt>
                <c:pt idx="7">
                  <c:v>239.00870978832245</c:v>
                </c:pt>
                <c:pt idx="8">
                  <c:v>243.2553619146347</c:v>
                </c:pt>
                <c:pt idx="9">
                  <c:v>245.87994813919067</c:v>
                </c:pt>
                <c:pt idx="10">
                  <c:v>247.49021232128143</c:v>
                </c:pt>
              </c:numCache>
            </c:numRef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inputs'!$B$21:$L$21</c:f>
              <c:numCache>
                <c:formatCode>General</c:formatCode>
                <c:ptCount val="11"/>
                <c:pt idx="0">
                  <c:v>-21.605491638183594</c:v>
                </c:pt>
                <c:pt idx="1">
                  <c:v>14.060154557228088</c:v>
                </c:pt>
                <c:pt idx="2">
                  <c:v>57.113632559776306</c:v>
                </c:pt>
                <c:pt idx="3">
                  <c:v>102.51502692699432</c:v>
                </c:pt>
                <c:pt idx="4">
                  <c:v>144.1887766122818</c:v>
                </c:pt>
                <c:pt idx="5">
                  <c:v>178.00566554069519</c:v>
                </c:pt>
                <c:pt idx="6">
                  <c:v>202.91614532470703</c:v>
                </c:pt>
                <c:pt idx="7">
                  <c:v>220.03896534442902</c:v>
                </c:pt>
                <c:pt idx="8">
                  <c:v>231.27482831478119</c:v>
                </c:pt>
                <c:pt idx="9">
                  <c:v>238.43042552471161</c:v>
                </c:pt>
                <c:pt idx="10">
                  <c:v>242.90260672569275</c:v>
                </c:pt>
              </c:numCache>
            </c:numRef>
          </c:val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inputs'!$B$22:$L$22</c:f>
              <c:numCache>
                <c:formatCode>General</c:formatCode>
                <c:ptCount val="11"/>
                <c:pt idx="0">
                  <c:v>-75.590312480926514</c:v>
                </c:pt>
                <c:pt idx="1">
                  <c:v>-59.265896677970886</c:v>
                </c:pt>
                <c:pt idx="2">
                  <c:v>-32.958254218101501</c:v>
                </c:pt>
                <c:pt idx="3">
                  <c:v>4.6744793653488159</c:v>
                </c:pt>
                <c:pt idx="4">
                  <c:v>51.053538918495178</c:v>
                </c:pt>
                <c:pt idx="5">
                  <c:v>99.700808525085449</c:v>
                </c:pt>
                <c:pt idx="6">
                  <c:v>143.53176951408386</c:v>
                </c:pt>
                <c:pt idx="7">
                  <c:v>178.34693193435669</c:v>
                </c:pt>
                <c:pt idx="8">
                  <c:v>203.52447032928467</c:v>
                </c:pt>
                <c:pt idx="9">
                  <c:v>220.59480845928192</c:v>
                </c:pt>
                <c:pt idx="10">
                  <c:v>231.69133067131042</c:v>
                </c:pt>
              </c:numCache>
            </c:numRef>
          </c:val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inputs'!$B$23:$L$23</c:f>
              <c:numCache>
                <c:formatCode>General</c:formatCode>
                <c:ptCount val="11"/>
                <c:pt idx="0">
                  <c:v>-98.693877458572388</c:v>
                </c:pt>
                <c:pt idx="1">
                  <c:v>-96.308276057243347</c:v>
                </c:pt>
                <c:pt idx="2">
                  <c:v>-88.991254568099976</c:v>
                </c:pt>
                <c:pt idx="3">
                  <c:v>-72.730228304862976</c:v>
                </c:pt>
                <c:pt idx="4">
                  <c:v>-43.735548853874207</c:v>
                </c:pt>
                <c:pt idx="5">
                  <c:v>-1.3031810522079468</c:v>
                </c:pt>
                <c:pt idx="6">
                  <c:v>50.024688243865967</c:v>
                </c:pt>
                <c:pt idx="7">
                  <c:v>101.95364058017731</c:v>
                </c:pt>
                <c:pt idx="8">
                  <c:v>146.98596298694611</c:v>
                </c:pt>
                <c:pt idx="9">
                  <c:v>181.61922693252563</c:v>
                </c:pt>
                <c:pt idx="10">
                  <c:v>206.07364177703857</c:v>
                </c:pt>
              </c:numCache>
            </c:numRef>
          </c:val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inputs'!$B$24:$L$24</c:f>
              <c:numCache>
                <c:formatCode>General</c:formatCode>
                <c:ptCount val="11"/>
                <c:pt idx="0">
                  <c:v>-105.04865646362305</c:v>
                </c:pt>
                <c:pt idx="1">
                  <c:v>-108.41581225395203</c:v>
                </c:pt>
                <c:pt idx="2">
                  <c:v>-111.37723922729492</c:v>
                </c:pt>
                <c:pt idx="3">
                  <c:v>-111.51380836963654</c:v>
                </c:pt>
                <c:pt idx="4">
                  <c:v>-104.63327169418335</c:v>
                </c:pt>
                <c:pt idx="5">
                  <c:v>-85.619047284126282</c:v>
                </c:pt>
                <c:pt idx="6">
                  <c:v>-50.958111882209778</c:v>
                </c:pt>
                <c:pt idx="7">
                  <c:v>-1.9258111715316772</c:v>
                </c:pt>
                <c:pt idx="8">
                  <c:v>54.408267140388489</c:v>
                </c:pt>
                <c:pt idx="9">
                  <c:v>108.49009454250336</c:v>
                </c:pt>
                <c:pt idx="10">
                  <c:v>153.34007143974304</c:v>
                </c:pt>
              </c:numCache>
            </c:numRef>
          </c:val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inputs'!$B$25:$L$25</c:f>
              <c:numCache>
                <c:formatCode>General</c:formatCode>
                <c:ptCount val="11"/>
                <c:pt idx="0">
                  <c:v>-104.79272902011871</c:v>
                </c:pt>
                <c:pt idx="1">
                  <c:v>-109.18064415454865</c:v>
                </c:pt>
                <c:pt idx="2">
                  <c:v>-115.09509384632111</c:v>
                </c:pt>
                <c:pt idx="3">
                  <c:v>-122.00464308261871</c:v>
                </c:pt>
                <c:pt idx="4">
                  <c:v>-127.97857075929642</c:v>
                </c:pt>
                <c:pt idx="5">
                  <c:v>-129.10469621419907</c:v>
                </c:pt>
                <c:pt idx="6">
                  <c:v>-119.85789239406586</c:v>
                </c:pt>
                <c:pt idx="7">
                  <c:v>-94.995960593223572</c:v>
                </c:pt>
                <c:pt idx="8">
                  <c:v>-52.609369158744812</c:v>
                </c:pt>
                <c:pt idx="9">
                  <c:v>3.2963156700134277</c:v>
                </c:pt>
                <c:pt idx="10">
                  <c:v>63.455447554588318</c:v>
                </c:pt>
              </c:numCache>
            </c:numRef>
          </c:val>
        </c:ser>
        <c:ser>
          <c:idx val="6"/>
          <c:order val="6"/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inputs'!$B$26:$L$26</c:f>
              <c:numCache>
                <c:formatCode>General</c:formatCode>
                <c:ptCount val="11"/>
                <c:pt idx="0">
                  <c:v>-102.76837646961212</c:v>
                </c:pt>
                <c:pt idx="1">
                  <c:v>-106.41269385814667</c:v>
                </c:pt>
                <c:pt idx="2">
                  <c:v>-111.86110973358154</c:v>
                </c:pt>
                <c:pt idx="3">
                  <c:v>-119.51872706413269</c:v>
                </c:pt>
                <c:pt idx="4">
                  <c:v>-129.24323230981827</c:v>
                </c:pt>
                <c:pt idx="5">
                  <c:v>-139.60172235965729</c:v>
                </c:pt>
                <c:pt idx="6">
                  <c:v>-147.15839922428131</c:v>
                </c:pt>
                <c:pt idx="7">
                  <c:v>-146.53614908456802</c:v>
                </c:pt>
                <c:pt idx="8">
                  <c:v>-131.78201019763947</c:v>
                </c:pt>
                <c:pt idx="9">
                  <c:v>-98.784357309341431</c:v>
                </c:pt>
                <c:pt idx="10">
                  <c:v>-48.054978251457214</c:v>
                </c:pt>
              </c:numCache>
            </c:numRef>
          </c:val>
        </c:ser>
        <c:ser>
          <c:idx val="7"/>
          <c:order val="7"/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inputs'!$B$27:$L$27</c:f>
              <c:numCache>
                <c:formatCode>General</c:formatCode>
                <c:ptCount val="11"/>
                <c:pt idx="0">
                  <c:v>-100.76722502708435</c:v>
                </c:pt>
                <c:pt idx="1">
                  <c:v>-103.34505140781403</c:v>
                </c:pt>
                <c:pt idx="2">
                  <c:v>-107.38043487071991</c:v>
                </c:pt>
                <c:pt idx="3">
                  <c:v>-113.49564790725708</c:v>
                </c:pt>
                <c:pt idx="4">
                  <c:v>-122.29369580745697</c:v>
                </c:pt>
                <c:pt idx="5">
                  <c:v>-133.95064324140549</c:v>
                </c:pt>
                <c:pt idx="6">
                  <c:v>-147.48658984899521</c:v>
                </c:pt>
                <c:pt idx="7">
                  <c:v>-159.98834371566772</c:v>
                </c:pt>
                <c:pt idx="8">
                  <c:v>-166.48590564727783</c:v>
                </c:pt>
                <c:pt idx="9">
                  <c:v>-160.9843373298645</c:v>
                </c:pt>
                <c:pt idx="10">
                  <c:v>-138.29416781663895</c:v>
                </c:pt>
              </c:numCache>
            </c:numRef>
          </c:val>
        </c:ser>
        <c:ser>
          <c:idx val="8"/>
          <c:order val="8"/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inputs'!$B$28:$L$28</c:f>
              <c:numCache>
                <c:formatCode>General</c:formatCode>
                <c:ptCount val="11"/>
                <c:pt idx="0">
                  <c:v>-99.255755543708801</c:v>
                </c:pt>
                <c:pt idx="1">
                  <c:v>-100.93960165977478</c:v>
                </c:pt>
                <c:pt idx="2">
                  <c:v>-103.6381721496582</c:v>
                </c:pt>
                <c:pt idx="3">
                  <c:v>-107.88625478744507</c:v>
                </c:pt>
                <c:pt idx="4">
                  <c:v>-114.38368260860443</c:v>
                </c:pt>
                <c:pt idx="5">
                  <c:v>-123.87780845165253</c:v>
                </c:pt>
                <c:pt idx="6">
                  <c:v>-136.79736107587814</c:v>
                </c:pt>
                <c:pt idx="7">
                  <c:v>-152.55346149206161</c:v>
                </c:pt>
                <c:pt idx="8">
                  <c:v>-168.73124986886978</c:v>
                </c:pt>
                <c:pt idx="9">
                  <c:v>-180.84714561700821</c:v>
                </c:pt>
                <c:pt idx="10">
                  <c:v>-183.19452553987503</c:v>
                </c:pt>
              </c:numCache>
            </c:numRef>
          </c:val>
        </c:ser>
        <c:ser>
          <c:idx val="9"/>
          <c:order val="9"/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inputs'!$B$29:$L$29</c:f>
              <c:numCache>
                <c:formatCode>General</c:formatCode>
                <c:ptCount val="11"/>
                <c:pt idx="0">
                  <c:v>-98.23356568813324</c:v>
                </c:pt>
                <c:pt idx="1">
                  <c:v>-99.28499162197113</c:v>
                </c:pt>
                <c:pt idx="2">
                  <c:v>-100.99154710769653</c:v>
                </c:pt>
                <c:pt idx="3">
                  <c:v>-103.73352468013763</c:v>
                </c:pt>
                <c:pt idx="4">
                  <c:v>-108.06819796562195</c:v>
                </c:pt>
                <c:pt idx="5">
                  <c:v>-114.74417150020599</c:v>
                </c:pt>
                <c:pt idx="6">
                  <c:v>-124.61081147193909</c:v>
                </c:pt>
                <c:pt idx="7">
                  <c:v>-138.29367607831955</c:v>
                </c:pt>
                <c:pt idx="8">
                  <c:v>-155.53252398967743</c:v>
                </c:pt>
                <c:pt idx="9">
                  <c:v>-174.36069250106812</c:v>
                </c:pt>
                <c:pt idx="10">
                  <c:v>-190.77333062887192</c:v>
                </c:pt>
              </c:numCache>
            </c:numRef>
          </c:val>
        </c:ser>
        <c:ser>
          <c:idx val="10"/>
          <c:order val="10"/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inputs'!$B$30:$L$30</c:f>
              <c:numCache>
                <c:formatCode>General</c:formatCode>
                <c:ptCount val="11"/>
                <c:pt idx="0">
                  <c:v>-97.581073641777039</c:v>
                </c:pt>
                <c:pt idx="1">
                  <c:v>-98.219975829124451</c:v>
                </c:pt>
                <c:pt idx="2">
                  <c:v>-99.264070391654968</c:v>
                </c:pt>
                <c:pt idx="3">
                  <c:v>-100.96070170402527</c:v>
                </c:pt>
                <c:pt idx="4">
                  <c:v>-103.69253158569336</c:v>
                </c:pt>
                <c:pt idx="5">
                  <c:v>-108.0256849527359</c:v>
                </c:pt>
                <c:pt idx="6">
                  <c:v>-114.7361695766449</c:v>
                </c:pt>
                <c:pt idx="7">
                  <c:v>-124.74282085895538</c:v>
                </c:pt>
                <c:pt idx="8">
                  <c:v>-138.82175832986832</c:v>
                </c:pt>
                <c:pt idx="9">
                  <c:v>-156.98576718568802</c:v>
                </c:pt>
                <c:pt idx="10">
                  <c:v>-177.66206711530685</c:v>
                </c:pt>
              </c:numCache>
            </c:numRef>
          </c:val>
        </c:ser>
        <c:ser>
          <c:idx val="11"/>
          <c:order val="11"/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inputs'!$B$31:$L$31</c:f>
              <c:numCache>
                <c:formatCode>General</c:formatCode>
                <c:ptCount val="11"/>
                <c:pt idx="0">
                  <c:v>-97.178742289543152</c:v>
                </c:pt>
                <c:pt idx="1">
                  <c:v>-97.560107707977295</c:v>
                </c:pt>
                <c:pt idx="2">
                  <c:v>-98.185911774635315</c:v>
                </c:pt>
                <c:pt idx="3">
                  <c:v>-99.209308624267578</c:v>
                </c:pt>
                <c:pt idx="4">
                  <c:v>-100.87402164936066</c:v>
                </c:pt>
                <c:pt idx="5">
                  <c:v>-103.55913639068604</c:v>
                </c:pt>
                <c:pt idx="6">
                  <c:v>-107.83015191555023</c:v>
                </c:pt>
                <c:pt idx="7">
                  <c:v>-114.47474360466003</c:v>
                </c:pt>
                <c:pt idx="8">
                  <c:v>-124.45604801177979</c:v>
                </c:pt>
                <c:pt idx="9">
                  <c:v>-138.66395503282547</c:v>
                </c:pt>
                <c:pt idx="10">
                  <c:v>-157.3370024561882</c:v>
                </c:pt>
              </c:numCache>
            </c:numRef>
          </c:val>
        </c:ser>
        <c:ser>
          <c:idx val="12"/>
          <c:order val="12"/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inputs'!$B$32:$L$32</c:f>
              <c:numCache>
                <c:formatCode>General</c:formatCode>
                <c:ptCount val="11"/>
                <c:pt idx="0">
                  <c:v>-96.935823559761047</c:v>
                </c:pt>
                <c:pt idx="1">
                  <c:v>-97.160950303077698</c:v>
                </c:pt>
                <c:pt idx="2">
                  <c:v>-97.531139850616455</c:v>
                </c:pt>
                <c:pt idx="3">
                  <c:v>-98.138526082038879</c:v>
                </c:pt>
                <c:pt idx="4">
                  <c:v>-99.132418632507324</c:v>
                </c:pt>
                <c:pt idx="5">
                  <c:v>-100.75068473815918</c:v>
                </c:pt>
                <c:pt idx="6">
                  <c:v>-103.36467623710632</c:v>
                </c:pt>
                <c:pt idx="7">
                  <c:v>-107.53282904624939</c:v>
                </c:pt>
                <c:pt idx="8">
                  <c:v>-114.04268443584442</c:v>
                </c:pt>
                <c:pt idx="9">
                  <c:v>-123.8827258348465</c:v>
                </c:pt>
                <c:pt idx="10">
                  <c:v>-138.02748918533325</c:v>
                </c:pt>
              </c:numCache>
            </c:numRef>
          </c:val>
        </c:ser>
        <c:ser>
          <c:idx val="13"/>
          <c:order val="13"/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inputs'!$B$33:$L$33</c:f>
              <c:numCache>
                <c:formatCode>General</c:formatCode>
                <c:ptCount val="11"/>
                <c:pt idx="0">
                  <c:v>-96.791386604309082</c:v>
                </c:pt>
                <c:pt idx="1">
                  <c:v>-96.923172473907471</c:v>
                </c:pt>
                <c:pt idx="2">
                  <c:v>-97.140207886695862</c:v>
                </c:pt>
                <c:pt idx="3">
                  <c:v>-97.497031092643738</c:v>
                </c:pt>
                <c:pt idx="4">
                  <c:v>-98.082736134529114</c:v>
                </c:pt>
                <c:pt idx="5">
                  <c:v>-99.041670560836792</c:v>
                </c:pt>
                <c:pt idx="6">
                  <c:v>-100.60423612594604</c:v>
                </c:pt>
                <c:pt idx="7">
                  <c:v>-103.13154757022858</c:v>
                </c:pt>
                <c:pt idx="8">
                  <c:v>-107.17006027698517</c:v>
                </c:pt>
                <c:pt idx="9">
                  <c:v>-113.49917948246002</c:v>
                </c:pt>
                <c:pt idx="10">
                  <c:v>-123.11834096908569</c:v>
                </c:pt>
              </c:numCache>
            </c:numRef>
          </c:val>
        </c:ser>
        <c:ser>
          <c:idx val="14"/>
          <c:order val="14"/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inputs'!$B$34:$L$34</c:f>
              <c:numCache>
                <c:formatCode>General</c:formatCode>
                <c:ptCount val="11"/>
                <c:pt idx="0">
                  <c:v>-96.706315875053406</c:v>
                </c:pt>
                <c:pt idx="1">
                  <c:v>-96.783071756362915</c:v>
                </c:pt>
                <c:pt idx="2">
                  <c:v>-96.909493207931519</c:v>
                </c:pt>
                <c:pt idx="3">
                  <c:v>-97.117677330970764</c:v>
                </c:pt>
                <c:pt idx="4">
                  <c:v>-97.46001660823822</c:v>
                </c:pt>
                <c:pt idx="5">
                  <c:v>-98.022207617759705</c:v>
                </c:pt>
                <c:pt idx="6">
                  <c:v>-98.942875862121582</c:v>
                </c:pt>
                <c:pt idx="7">
                  <c:v>-100.4442423582077</c:v>
                </c:pt>
                <c:pt idx="8">
                  <c:v>-102.87544131278992</c:v>
                </c:pt>
                <c:pt idx="9">
                  <c:v>-106.76777362823486</c:v>
                </c:pt>
                <c:pt idx="10">
                  <c:v>-112.88660764694214</c:v>
                </c:pt>
              </c:numCache>
            </c:numRef>
          </c:val>
        </c:ser>
        <c:ser>
          <c:idx val="15"/>
          <c:order val="15"/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inputs'!$B$35:$L$35</c:f>
              <c:numCache>
                <c:formatCode>General</c:formatCode>
                <c:ptCount val="11"/>
                <c:pt idx="0">
                  <c:v>-96.656516194343567</c:v>
                </c:pt>
                <c:pt idx="1">
                  <c:v>-96.701085567474365</c:v>
                </c:pt>
                <c:pt idx="2">
                  <c:v>-96.774443984031677</c:v>
                </c:pt>
                <c:pt idx="3">
                  <c:v>-96.895322203636169</c:v>
                </c:pt>
                <c:pt idx="4">
                  <c:v>-97.094297409057617</c:v>
                </c:pt>
                <c:pt idx="5">
                  <c:v>-97.421616315841675</c:v>
                </c:pt>
                <c:pt idx="6">
                  <c:v>-97.959220409393311</c:v>
                </c:pt>
                <c:pt idx="7">
                  <c:v>-98.840102553367615</c:v>
                </c:pt>
                <c:pt idx="8">
                  <c:v>-100.27740895748138</c:v>
                </c:pt>
                <c:pt idx="9">
                  <c:v>-102.60744392871857</c:v>
                </c:pt>
                <c:pt idx="10">
                  <c:v>-106.34429752826691</c:v>
                </c:pt>
              </c:numCache>
            </c:numRef>
          </c:val>
        </c:ser>
        <c:ser>
          <c:idx val="16"/>
          <c:order val="16"/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inputs'!$B$36:$L$36</c:f>
              <c:numCache>
                <c:formatCode>General</c:formatCode>
                <c:ptCount val="11"/>
                <c:pt idx="0">
                  <c:v>-96.627593040466309</c:v>
                </c:pt>
                <c:pt idx="1">
                  <c:v>-96.653342247009277</c:v>
                </c:pt>
                <c:pt idx="2">
                  <c:v>-96.695810556411743</c:v>
                </c:pt>
                <c:pt idx="3">
                  <c:v>-96.765726804733276</c:v>
                </c:pt>
                <c:pt idx="4">
                  <c:v>-96.880927681922913</c:v>
                </c:pt>
                <c:pt idx="5">
                  <c:v>-97.070693969726563</c:v>
                </c:pt>
                <c:pt idx="6">
                  <c:v>-97.382813692092896</c:v>
                </c:pt>
                <c:pt idx="7">
                  <c:v>-97.895652055740356</c:v>
                </c:pt>
                <c:pt idx="8">
                  <c:v>-98.736211657524109</c:v>
                </c:pt>
                <c:pt idx="9">
                  <c:v>-100.10847449302673</c:v>
                </c:pt>
                <c:pt idx="10">
                  <c:v>-102.33528912067413</c:v>
                </c:pt>
              </c:numCache>
            </c:numRef>
          </c:val>
        </c:ser>
        <c:ser>
          <c:idx val="17"/>
          <c:order val="17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inputs'!$B$37:$L$37</c:f>
              <c:numCache>
                <c:formatCode>General</c:formatCode>
                <c:ptCount val="11"/>
                <c:pt idx="0">
                  <c:v>-96.610784530639648</c:v>
                </c:pt>
                <c:pt idx="1">
                  <c:v>-96.625670790672302</c:v>
                </c:pt>
                <c:pt idx="2">
                  <c:v>-96.650168299674988</c:v>
                </c:pt>
                <c:pt idx="3">
                  <c:v>-96.690535545349121</c:v>
                </c:pt>
                <c:pt idx="4">
                  <c:v>-96.75714373588562</c:v>
                </c:pt>
                <c:pt idx="5">
                  <c:v>-96.866756677627563</c:v>
                </c:pt>
                <c:pt idx="6">
                  <c:v>-97.047358751296997</c:v>
                </c:pt>
                <c:pt idx="7">
                  <c:v>-97.34441339969635</c:v>
                </c:pt>
                <c:pt idx="8">
                  <c:v>-97.832620143890381</c:v>
                </c:pt>
                <c:pt idx="9">
                  <c:v>-98.633036017417908</c:v>
                </c:pt>
                <c:pt idx="10">
                  <c:v>-99.94061291217804</c:v>
                </c:pt>
              </c:numCache>
            </c:numRef>
          </c:val>
        </c:ser>
        <c:ser>
          <c:idx val="18"/>
          <c:order val="18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'Two inputs'!$A$20:$A$38</c:f>
              <c:numCache>
                <c:formatCode>General</c:formatCode>
                <c:ptCount val="19"/>
                <c:pt idx="0">
                  <c:v>10000</c:v>
                </c:pt>
                <c:pt idx="1">
                  <c:v>15000</c:v>
                </c:pt>
                <c:pt idx="2">
                  <c:v>20000</c:v>
                </c:pt>
                <c:pt idx="3">
                  <c:v>25000</c:v>
                </c:pt>
                <c:pt idx="4">
                  <c:v>30000</c:v>
                </c:pt>
                <c:pt idx="5">
                  <c:v>35000</c:v>
                </c:pt>
                <c:pt idx="6">
                  <c:v>40000</c:v>
                </c:pt>
                <c:pt idx="7">
                  <c:v>45000</c:v>
                </c:pt>
                <c:pt idx="8">
                  <c:v>50000</c:v>
                </c:pt>
                <c:pt idx="9">
                  <c:v>55000</c:v>
                </c:pt>
                <c:pt idx="10">
                  <c:v>60000</c:v>
                </c:pt>
                <c:pt idx="11">
                  <c:v>65000</c:v>
                </c:pt>
                <c:pt idx="12">
                  <c:v>70000</c:v>
                </c:pt>
                <c:pt idx="13">
                  <c:v>75000</c:v>
                </c:pt>
                <c:pt idx="14">
                  <c:v>80000</c:v>
                </c:pt>
                <c:pt idx="15">
                  <c:v>85000</c:v>
                </c:pt>
                <c:pt idx="16">
                  <c:v>90000</c:v>
                </c:pt>
                <c:pt idx="17">
                  <c:v>95000</c:v>
                </c:pt>
                <c:pt idx="18">
                  <c:v>100000</c:v>
                </c:pt>
              </c:numCache>
            </c:numRef>
          </c:cat>
          <c:val>
            <c:numRef>
              <c:f>'Two inputs'!$B$38:$L$38</c:f>
              <c:numCache>
                <c:formatCode>General</c:formatCode>
                <c:ptCount val="11"/>
                <c:pt idx="0">
                  <c:v>-96.601083874702454</c:v>
                </c:pt>
                <c:pt idx="1">
                  <c:v>-96.60966694355011</c:v>
                </c:pt>
                <c:pt idx="2">
                  <c:v>-96.623748540878296</c:v>
                </c:pt>
                <c:pt idx="3">
                  <c:v>-96.647083759307861</c:v>
                </c:pt>
                <c:pt idx="4">
                  <c:v>-96.685439348220825</c:v>
                </c:pt>
                <c:pt idx="5">
                  <c:v>-96.748650074005127</c:v>
                </c:pt>
                <c:pt idx="6">
                  <c:v>-96.852898597717285</c:v>
                </c:pt>
                <c:pt idx="7">
                  <c:v>-97.024470567703247</c:v>
                </c:pt>
                <c:pt idx="8">
                  <c:v>-97.306862473487854</c:v>
                </c:pt>
                <c:pt idx="9">
                  <c:v>-97.77088463306427</c:v>
                </c:pt>
                <c:pt idx="10">
                  <c:v>-98.531961441040039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223116672"/>
        <c:axId val="223118464"/>
        <c:axId val="226035008"/>
      </c:surface3DChart>
      <c:catAx>
        <c:axId val="22311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118464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223118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116672"/>
        <c:crosses val="autoZero"/>
        <c:crossBetween val="between"/>
      </c:valAx>
      <c:serAx>
        <c:axId val="226035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118464"/>
        <c:crosses val="autoZero"/>
        <c:tickLblSkip val="5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3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4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6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7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8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84842960124263633"/>
          <c:y val="0.2314285714285714"/>
          <c:w val="0.13678385728094788"/>
          <c:h val="0.542857142857142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 rtl="0"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573554161120395E-2"/>
          <c:y val="4.5592705167173259E-2"/>
          <c:w val="0.93750084147809343"/>
          <c:h val="0.91185410334346517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3179904"/>
        <c:axId val="223181440"/>
      </c:barChart>
      <c:catAx>
        <c:axId val="223179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181440"/>
        <c:crosses val="autoZero"/>
        <c:auto val="1"/>
        <c:lblAlgn val="ctr"/>
        <c:lblOffset val="100"/>
        <c:tickMarkSkip val="1"/>
        <c:noMultiLvlLbl val="0"/>
      </c:catAx>
      <c:valAx>
        <c:axId val="223181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1799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8529500202403542"/>
          <c:y val="0.50151975683890571"/>
          <c:w val="0"/>
          <c:h val="3.039513677811551E-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Logistic function: 1/(1+exp(-x))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'Logistic function'!$B$1</c:f>
              <c:strCache>
                <c:ptCount val="1"/>
                <c:pt idx="0">
                  <c:v>logistic(x)</c:v>
                </c:pt>
              </c:strCache>
            </c:strRef>
          </c:tx>
          <c:marker>
            <c:symbol val="none"/>
          </c:marker>
          <c:cat>
            <c:numRef>
              <c:f>'Logistic function'!$A$2:$A$72</c:f>
              <c:numCache>
                <c:formatCode>General</c:formatCode>
                <c:ptCount val="71"/>
                <c:pt idx="0">
                  <c:v>-7.0000000000000098</c:v>
                </c:pt>
                <c:pt idx="1">
                  <c:v>-6.8000000000000096</c:v>
                </c:pt>
                <c:pt idx="2">
                  <c:v>-6.6000000000000103</c:v>
                </c:pt>
                <c:pt idx="3">
                  <c:v>-6.4000000000000101</c:v>
                </c:pt>
                <c:pt idx="4">
                  <c:v>-6.2000000000000099</c:v>
                </c:pt>
                <c:pt idx="5">
                  <c:v>-6.0000000000000098</c:v>
                </c:pt>
                <c:pt idx="6">
                  <c:v>-5.8000000000000096</c:v>
                </c:pt>
                <c:pt idx="7">
                  <c:v>-5.6000000000000201</c:v>
                </c:pt>
                <c:pt idx="8">
                  <c:v>-5.4000000000000199</c:v>
                </c:pt>
                <c:pt idx="9">
                  <c:v>-5.2000000000000197</c:v>
                </c:pt>
                <c:pt idx="10">
                  <c:v>-5.0000000000000204</c:v>
                </c:pt>
                <c:pt idx="11">
                  <c:v>-4.8000000000000203</c:v>
                </c:pt>
                <c:pt idx="12">
                  <c:v>-4.6000000000000201</c:v>
                </c:pt>
                <c:pt idx="13">
                  <c:v>-4.4000000000000199</c:v>
                </c:pt>
                <c:pt idx="14">
                  <c:v>-4.2000000000000197</c:v>
                </c:pt>
                <c:pt idx="15">
                  <c:v>-4.0000000000000204</c:v>
                </c:pt>
                <c:pt idx="16">
                  <c:v>-3.8000000000000198</c:v>
                </c:pt>
                <c:pt idx="17">
                  <c:v>-3.6000000000000201</c:v>
                </c:pt>
                <c:pt idx="18">
                  <c:v>-3.4000000000000199</c:v>
                </c:pt>
                <c:pt idx="19">
                  <c:v>-3.2000000000000202</c:v>
                </c:pt>
                <c:pt idx="20">
                  <c:v>-3.00000000000002</c:v>
                </c:pt>
                <c:pt idx="21">
                  <c:v>-2.80000000000003</c:v>
                </c:pt>
                <c:pt idx="22">
                  <c:v>-2.6000000000000298</c:v>
                </c:pt>
                <c:pt idx="23">
                  <c:v>-2.4000000000000301</c:v>
                </c:pt>
                <c:pt idx="24">
                  <c:v>-2.2000000000000299</c:v>
                </c:pt>
                <c:pt idx="25">
                  <c:v>-2.0000000000000302</c:v>
                </c:pt>
                <c:pt idx="26">
                  <c:v>-1.80000000000003</c:v>
                </c:pt>
                <c:pt idx="27">
                  <c:v>-1.6000000000000301</c:v>
                </c:pt>
                <c:pt idx="28">
                  <c:v>-1.4000000000000301</c:v>
                </c:pt>
                <c:pt idx="29">
                  <c:v>-1.2000000000000299</c:v>
                </c:pt>
                <c:pt idx="30">
                  <c:v>-1.00000000000003</c:v>
                </c:pt>
                <c:pt idx="31">
                  <c:v>-0.80000000000002902</c:v>
                </c:pt>
                <c:pt idx="32">
                  <c:v>-0.60000000000002995</c:v>
                </c:pt>
                <c:pt idx="33">
                  <c:v>-0.400000000000031</c:v>
                </c:pt>
                <c:pt idx="34">
                  <c:v>-0.20000000000002899</c:v>
                </c:pt>
                <c:pt idx="35">
                  <c:v>-4.0856207306205799E-14</c:v>
                </c:pt>
                <c:pt idx="36">
                  <c:v>0.19999999999999901</c:v>
                </c:pt>
                <c:pt idx="37">
                  <c:v>0.4</c:v>
                </c:pt>
                <c:pt idx="38">
                  <c:v>0.6</c:v>
                </c:pt>
                <c:pt idx="39">
                  <c:v>0.80000000000000104</c:v>
                </c:pt>
                <c:pt idx="40">
                  <c:v>1</c:v>
                </c:pt>
                <c:pt idx="41">
                  <c:v>1.2</c:v>
                </c:pt>
                <c:pt idx="42">
                  <c:v>1.4</c:v>
                </c:pt>
                <c:pt idx="43">
                  <c:v>1.6</c:v>
                </c:pt>
                <c:pt idx="44">
                  <c:v>1.8</c:v>
                </c:pt>
                <c:pt idx="45">
                  <c:v>2</c:v>
                </c:pt>
                <c:pt idx="46">
                  <c:v>2.2000000000000002</c:v>
                </c:pt>
                <c:pt idx="47">
                  <c:v>2.4</c:v>
                </c:pt>
                <c:pt idx="48">
                  <c:v>2.6</c:v>
                </c:pt>
                <c:pt idx="49">
                  <c:v>2.8</c:v>
                </c:pt>
                <c:pt idx="50">
                  <c:v>3</c:v>
                </c:pt>
                <c:pt idx="51">
                  <c:v>3.2</c:v>
                </c:pt>
                <c:pt idx="52">
                  <c:v>3.4</c:v>
                </c:pt>
                <c:pt idx="53">
                  <c:v>3.6</c:v>
                </c:pt>
                <c:pt idx="54">
                  <c:v>3.8</c:v>
                </c:pt>
                <c:pt idx="55">
                  <c:v>4</c:v>
                </c:pt>
                <c:pt idx="56">
                  <c:v>4.1999999999998998</c:v>
                </c:pt>
                <c:pt idx="57">
                  <c:v>4.3999999999999</c:v>
                </c:pt>
                <c:pt idx="58">
                  <c:v>4.5999999999999002</c:v>
                </c:pt>
                <c:pt idx="59">
                  <c:v>4.7999999999999003</c:v>
                </c:pt>
                <c:pt idx="60">
                  <c:v>4.9999999999998996</c:v>
                </c:pt>
                <c:pt idx="61">
                  <c:v>5.1999999999998998</c:v>
                </c:pt>
                <c:pt idx="62">
                  <c:v>5.3999999999999</c:v>
                </c:pt>
                <c:pt idx="63">
                  <c:v>5.5999999999999002</c:v>
                </c:pt>
                <c:pt idx="64">
                  <c:v>5.7999999999999003</c:v>
                </c:pt>
                <c:pt idx="65">
                  <c:v>5.9999999999998996</c:v>
                </c:pt>
                <c:pt idx="66">
                  <c:v>6.1999999999998998</c:v>
                </c:pt>
                <c:pt idx="67">
                  <c:v>6.3999999999999</c:v>
                </c:pt>
                <c:pt idx="68">
                  <c:v>6.5999999999999002</c:v>
                </c:pt>
                <c:pt idx="69">
                  <c:v>6.7999999999999003</c:v>
                </c:pt>
                <c:pt idx="70">
                  <c:v>6.9999999999998996</c:v>
                </c:pt>
              </c:numCache>
            </c:numRef>
          </c:cat>
          <c:val>
            <c:numRef>
              <c:f>'Logistic function'!$B$2:$B$72</c:f>
              <c:numCache>
                <c:formatCode>General</c:formatCode>
                <c:ptCount val="71"/>
                <c:pt idx="0">
                  <c:v>9.1105117462575436E-4</c:v>
                </c:pt>
                <c:pt idx="1">
                  <c:v>1.1125358287245035E-3</c:v>
                </c:pt>
                <c:pt idx="2">
                  <c:v>1.3585201231762767E-3</c:v>
                </c:pt>
                <c:pt idx="3">
                  <c:v>1.6588008729740977E-3</c:v>
                </c:pt>
                <c:pt idx="4">
                  <c:v>2.0253206603229046E-3</c:v>
                </c:pt>
                <c:pt idx="5">
                  <c:v>2.4726232513785362E-3</c:v>
                </c:pt>
                <c:pt idx="6">
                  <c:v>3.0184157658368349E-3</c:v>
                </c:pt>
                <c:pt idx="7">
                  <c:v>3.684240160509944E-3</c:v>
                </c:pt>
                <c:pt idx="8">
                  <c:v>4.4962726533412933E-3</c:v>
                </c:pt>
                <c:pt idx="9">
                  <c:v>5.4862997494637966E-3</c:v>
                </c:pt>
                <c:pt idx="10">
                  <c:v>6.6928509622812271E-3</c:v>
                </c:pt>
                <c:pt idx="11">
                  <c:v>8.1625692546367645E-3</c:v>
                </c:pt>
                <c:pt idx="12">
                  <c:v>9.9518029019236565E-3</c:v>
                </c:pt>
                <c:pt idx="13">
                  <c:v>1.2128434143960476E-2</c:v>
                </c:pt>
                <c:pt idx="14">
                  <c:v>1.4774034731090069E-2</c:v>
                </c:pt>
                <c:pt idx="15">
                  <c:v>1.7986210063099861E-2</c:v>
                </c:pt>
                <c:pt idx="16">
                  <c:v>2.1881271153688431E-2</c:v>
                </c:pt>
                <c:pt idx="17">
                  <c:v>2.6596996933221817E-2</c:v>
                </c:pt>
                <c:pt idx="18">
                  <c:v>3.2295461744070053E-2</c:v>
                </c:pt>
                <c:pt idx="19">
                  <c:v>3.9165720343589783E-2</c:v>
                </c:pt>
                <c:pt idx="20">
                  <c:v>4.7425873577594757E-2</c:v>
                </c:pt>
                <c:pt idx="21">
                  <c:v>5.7324178516864777E-2</c:v>
                </c:pt>
                <c:pt idx="22">
                  <c:v>6.9138430058956146E-2</c:v>
                </c:pt>
                <c:pt idx="23">
                  <c:v>8.3172686398029327E-2</c:v>
                </c:pt>
                <c:pt idx="24">
                  <c:v>9.975048154592514E-2</c:v>
                </c:pt>
                <c:pt idx="25">
                  <c:v>0.11920291930437088</c:v>
                </c:pt>
                <c:pt idx="26">
                  <c:v>0.14185106754302979</c:v>
                </c:pt>
                <c:pt idx="27">
                  <c:v>0.16798160970211029</c:v>
                </c:pt>
                <c:pt idx="28">
                  <c:v>0.19781611859798431</c:v>
                </c:pt>
                <c:pt idx="29">
                  <c:v>0.23147520422935486</c:v>
                </c:pt>
                <c:pt idx="30">
                  <c:v>0.26894143223762512</c:v>
                </c:pt>
                <c:pt idx="31">
                  <c:v>0.31002551317214966</c:v>
                </c:pt>
                <c:pt idx="32">
                  <c:v>0.35434368252754211</c:v>
                </c:pt>
                <c:pt idx="33">
                  <c:v>0.40131235122680664</c:v>
                </c:pt>
                <c:pt idx="34">
                  <c:v>0.4501660168170929</c:v>
                </c:pt>
                <c:pt idx="35">
                  <c:v>0.5</c:v>
                </c:pt>
                <c:pt idx="36">
                  <c:v>0.54983401298522949</c:v>
                </c:pt>
                <c:pt idx="37">
                  <c:v>0.59868764877319336</c:v>
                </c:pt>
                <c:pt idx="38">
                  <c:v>0.6456562876701355</c:v>
                </c:pt>
                <c:pt idx="39">
                  <c:v>0.68997448682785034</c:v>
                </c:pt>
                <c:pt idx="40">
                  <c:v>0.73105859756469727</c:v>
                </c:pt>
                <c:pt idx="41">
                  <c:v>0.76852476596832275</c:v>
                </c:pt>
                <c:pt idx="42">
                  <c:v>0.80218386650085449</c:v>
                </c:pt>
                <c:pt idx="43">
                  <c:v>0.83201837539672852</c:v>
                </c:pt>
                <c:pt idx="44">
                  <c:v>0.85814893245697021</c:v>
                </c:pt>
                <c:pt idx="45">
                  <c:v>0.88079708814620972</c:v>
                </c:pt>
                <c:pt idx="46">
                  <c:v>0.90024954080581665</c:v>
                </c:pt>
                <c:pt idx="47">
                  <c:v>0.91682732105255127</c:v>
                </c:pt>
                <c:pt idx="48">
                  <c:v>0.93086159229278564</c:v>
                </c:pt>
                <c:pt idx="49">
                  <c:v>0.94267582893371582</c:v>
                </c:pt>
                <c:pt idx="50">
                  <c:v>0.95257413387298584</c:v>
                </c:pt>
                <c:pt idx="51">
                  <c:v>0.96083426475524902</c:v>
                </c:pt>
                <c:pt idx="52">
                  <c:v>0.96770453453063965</c:v>
                </c:pt>
                <c:pt idx="53">
                  <c:v>0.97340297698974609</c:v>
                </c:pt>
                <c:pt idx="54">
                  <c:v>0.97811871767044067</c:v>
                </c:pt>
                <c:pt idx="55">
                  <c:v>0.9820137619972229</c:v>
                </c:pt>
                <c:pt idx="56">
                  <c:v>0.98522597551345825</c:v>
                </c:pt>
                <c:pt idx="57">
                  <c:v>0.98787158727645874</c:v>
                </c:pt>
                <c:pt idx="58">
                  <c:v>0.99004817008972168</c:v>
                </c:pt>
                <c:pt idx="59">
                  <c:v>0.99183744192123413</c:v>
                </c:pt>
                <c:pt idx="60">
                  <c:v>0.99330717325210571</c:v>
                </c:pt>
                <c:pt idx="61">
                  <c:v>0.99451369047164917</c:v>
                </c:pt>
                <c:pt idx="62">
                  <c:v>0.99550372362136841</c:v>
                </c:pt>
                <c:pt idx="63">
                  <c:v>0.99631577730178833</c:v>
                </c:pt>
                <c:pt idx="64">
                  <c:v>0.99698156118392944</c:v>
                </c:pt>
                <c:pt idx="65">
                  <c:v>0.9975273609161377</c:v>
                </c:pt>
                <c:pt idx="66">
                  <c:v>0.997974693775177</c:v>
                </c:pt>
                <c:pt idx="67">
                  <c:v>0.99834120273590088</c:v>
                </c:pt>
                <c:pt idx="68">
                  <c:v>0.9986414909362793</c:v>
                </c:pt>
                <c:pt idx="69">
                  <c:v>0.99888747930526733</c:v>
                </c:pt>
                <c:pt idx="70">
                  <c:v>0.99908894300460815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481472"/>
        <c:axId val="225483392"/>
      </c:lineChart>
      <c:catAx>
        <c:axId val="225481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25483392"/>
        <c:crossesAt val="0"/>
        <c:auto val="1"/>
        <c:lblAlgn val="ctr"/>
        <c:lblOffset val="100"/>
        <c:tickLblSkip val="10"/>
        <c:tickMarkSkip val="5"/>
        <c:noMultiLvlLbl val="0"/>
      </c:catAx>
      <c:valAx>
        <c:axId val="225483392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25481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5</xdr:row>
      <xdr:rowOff>123825</xdr:rowOff>
    </xdr:from>
    <xdr:to>
      <xdr:col>11</xdr:col>
      <xdr:colOff>238125</xdr:colOff>
      <xdr:row>16</xdr:row>
      <xdr:rowOff>180975</xdr:rowOff>
    </xdr:to>
    <xdr:graphicFrame macro="">
      <xdr:nvGraphicFramePr>
        <xdr:cNvPr id="1038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590550</xdr:colOff>
      <xdr:row>17</xdr:row>
      <xdr:rowOff>180975</xdr:rowOff>
    </xdr:from>
    <xdr:to>
      <xdr:col>11</xdr:col>
      <xdr:colOff>285750</xdr:colOff>
      <xdr:row>32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571500</xdr:colOff>
      <xdr:row>12</xdr:row>
      <xdr:rowOff>114300</xdr:rowOff>
    </xdr:from>
    <xdr:to>
      <xdr:col>11</xdr:col>
      <xdr:colOff>0</xdr:colOff>
      <xdr:row>15</xdr:row>
      <xdr:rowOff>171450</xdr:rowOff>
    </xdr:to>
    <xdr:sp macro="" textlink="">
      <xdr:nvSpPr>
        <xdr:cNvPr id="6" name="TextBox 5"/>
        <xdr:cNvSpPr txBox="1"/>
      </xdr:nvSpPr>
      <xdr:spPr>
        <a:xfrm>
          <a:off x="6086475" y="2400300"/>
          <a:ext cx="1866900" cy="628650"/>
        </a:xfrm>
        <a:prstGeom prst="roundRect">
          <a:avLst/>
        </a:prstGeom>
        <a:solidFill>
          <a:schemeClr val="bg1">
            <a:shade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There can also be "bias" arrows,</a:t>
          </a:r>
          <a:r>
            <a:rPr lang="en-US" sz="1100" baseline="0"/>
            <a:t> essentially like the constant term in regression.</a:t>
          </a:r>
          <a:endParaRPr lang="en-US" sz="1100"/>
        </a:p>
      </xdr:txBody>
    </xdr:sp>
    <xdr:clientData/>
  </xdr:twoCellAnchor>
  <xdr:twoCellAnchor>
    <xdr:from>
      <xdr:col>4</xdr:col>
      <xdr:colOff>590550</xdr:colOff>
      <xdr:row>1</xdr:row>
      <xdr:rowOff>161925</xdr:rowOff>
    </xdr:from>
    <xdr:to>
      <xdr:col>10</xdr:col>
      <xdr:colOff>304800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4276725" y="352425"/>
          <a:ext cx="3371850" cy="504825"/>
        </a:xfrm>
        <a:prstGeom prst="roundRect">
          <a:avLst/>
        </a:prstGeom>
        <a:solidFill>
          <a:schemeClr val="bg1">
            <a:shade val="80000"/>
          </a:schemeClr>
        </a:solidFill>
        <a:ln w="22225">
          <a:noFill/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 this sheet and the next, try changing the weights in blue to see how the nonlinear behavior</a:t>
          </a:r>
          <a:r>
            <a:rPr lang="en-US" sz="1100" baseline="0"/>
            <a:t> changes.</a:t>
          </a:r>
          <a:endParaRPr lang="en-US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0.13704</cdr:x>
      <cdr:y>0.3092</cdr:y>
    </cdr:from>
    <cdr:to>
      <cdr:x>0.19284</cdr:x>
      <cdr:y>0.39173</cdr:y>
    </cdr:to>
    <cdr:sp macro="" textlink="">
      <cdr:nvSpPr>
        <cdr:cNvPr id="3073" name="Oval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24496" y="786587"/>
          <a:ext cx="253003" cy="209093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FF"/>
        </a:solidFill>
        <a:ln xmlns:a="http://schemas.openxmlformats.org/drawingml/2006/main" w="9525" algn="ctr">
          <a:solidFill>
            <a:srgbClr val="000000"/>
          </a:solidFill>
          <a:round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0.40014</cdr:x>
      <cdr:y>0.16893</cdr:y>
    </cdr:from>
    <cdr:to>
      <cdr:x>0.45595</cdr:x>
      <cdr:y>0.25146</cdr:y>
    </cdr:to>
    <cdr:sp macro="" textlink="">
      <cdr:nvSpPr>
        <cdr:cNvPr id="3074" name="Oval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17383" y="431190"/>
          <a:ext cx="253003" cy="209093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FF"/>
        </a:solidFill>
        <a:ln xmlns:a="http://schemas.openxmlformats.org/drawingml/2006/main" w="9525" algn="ctr">
          <a:solidFill>
            <a:srgbClr val="000000"/>
          </a:solidFill>
          <a:round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0.40014</cdr:x>
      <cdr:y>0.47065</cdr:y>
    </cdr:from>
    <cdr:to>
      <cdr:x>0.45595</cdr:x>
      <cdr:y>0.55317</cdr:y>
    </cdr:to>
    <cdr:sp macro="" textlink="">
      <cdr:nvSpPr>
        <cdr:cNvPr id="3075" name="Oval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17383" y="1195629"/>
          <a:ext cx="253003" cy="209093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FF"/>
        </a:solidFill>
        <a:ln xmlns:a="http://schemas.openxmlformats.org/drawingml/2006/main" w="9525" algn="ctr">
          <a:solidFill>
            <a:srgbClr val="000000"/>
          </a:solidFill>
          <a:round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0.64122</cdr:x>
      <cdr:y>0.32436</cdr:y>
    </cdr:from>
    <cdr:to>
      <cdr:x>0.69678</cdr:x>
      <cdr:y>0.40761</cdr:y>
    </cdr:to>
    <cdr:sp macro="" textlink="">
      <cdr:nvSpPr>
        <cdr:cNvPr id="3076" name="Oval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10400" y="824992"/>
          <a:ext cx="251894" cy="210922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FF"/>
        </a:solidFill>
        <a:ln xmlns:a="http://schemas.openxmlformats.org/drawingml/2006/main" w="9525" algn="ctr">
          <a:solidFill>
            <a:srgbClr val="000000"/>
          </a:solidFill>
          <a:round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0.19284</cdr:x>
      <cdr:y>0.22042</cdr:y>
    </cdr:from>
    <cdr:to>
      <cdr:x>0.40014</cdr:x>
      <cdr:y>0.32436</cdr:y>
    </cdr:to>
    <cdr:sp macro="" textlink="">
      <cdr:nvSpPr>
        <cdr:cNvPr id="3077" name="Line 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877499" y="561645"/>
          <a:ext cx="939884" cy="263347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0.19284</cdr:x>
      <cdr:y>0.3732</cdr:y>
    </cdr:from>
    <cdr:to>
      <cdr:x>0.40014</cdr:x>
      <cdr:y>0.49639</cdr:y>
    </cdr:to>
    <cdr:sp macro="" textlink="">
      <cdr:nvSpPr>
        <cdr:cNvPr id="3078" name="Line 6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877499" y="948741"/>
          <a:ext cx="939884" cy="312115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0.45595</cdr:x>
      <cdr:y>0.22042</cdr:y>
    </cdr:from>
    <cdr:to>
      <cdr:x>0.64122</cdr:x>
      <cdr:y>0.34289</cdr:y>
    </cdr:to>
    <cdr:sp macro="" textlink="">
      <cdr:nvSpPr>
        <cdr:cNvPr id="3079" name="Line 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070386" y="561645"/>
          <a:ext cx="840014" cy="310286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0.45595</cdr:x>
      <cdr:y>0.3732</cdr:y>
    </cdr:from>
    <cdr:to>
      <cdr:x>0.64122</cdr:x>
      <cdr:y>0.51155</cdr:y>
    </cdr:to>
    <cdr:sp macro="" textlink="">
      <cdr:nvSpPr>
        <cdr:cNvPr id="3080" name="Line 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2070386" y="948741"/>
          <a:ext cx="840014" cy="35052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0.11403</cdr:x>
      <cdr:y>0.19469</cdr:y>
    </cdr:from>
    <cdr:to>
      <cdr:x>0.19284</cdr:x>
      <cdr:y>0.27648</cdr:y>
    </cdr:to>
    <cdr:sp macro="" textlink="">
      <cdr:nvSpPr>
        <cdr:cNvPr id="3086" name="Text Box 1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5926" y="419100"/>
          <a:ext cx="356561" cy="176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Input</a:t>
          </a:r>
        </a:p>
      </cdr:txBody>
    </cdr:sp>
  </cdr:relSizeAnchor>
  <cdr:relSizeAnchor xmlns:cdr="http://schemas.openxmlformats.org/drawingml/2006/chartDrawing">
    <cdr:from>
      <cdr:x>0.65028</cdr:x>
      <cdr:y>0.20354</cdr:y>
    </cdr:from>
    <cdr:to>
      <cdr:x>0.72908</cdr:x>
      <cdr:y>0.28875</cdr:y>
    </cdr:to>
    <cdr:sp macro="" textlink="">
      <cdr:nvSpPr>
        <cdr:cNvPr id="3087" name="Text Box 1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42089" y="438150"/>
          <a:ext cx="356561" cy="1834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Output</a:t>
          </a:r>
        </a:p>
      </cdr:txBody>
    </cdr:sp>
  </cdr:relSizeAnchor>
  <cdr:relSizeAnchor xmlns:cdr="http://schemas.openxmlformats.org/drawingml/2006/chartDrawing">
    <cdr:from>
      <cdr:x>0.39109</cdr:x>
      <cdr:y>0.09194</cdr:y>
    </cdr:from>
    <cdr:to>
      <cdr:x>0.49192</cdr:x>
      <cdr:y>0.14776</cdr:y>
    </cdr:to>
    <cdr:sp macro="" textlink="">
      <cdr:nvSpPr>
        <cdr:cNvPr id="3088" name="Text Box 1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76325" y="236118"/>
          <a:ext cx="457181" cy="14142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Hidden 1</a:t>
          </a:r>
        </a:p>
      </cdr:txBody>
    </cdr:sp>
  </cdr:relSizeAnchor>
  <cdr:relSizeAnchor xmlns:cdr="http://schemas.openxmlformats.org/drawingml/2006/chartDrawing">
    <cdr:from>
      <cdr:x>0.39109</cdr:x>
      <cdr:y>0.5782</cdr:y>
    </cdr:from>
    <cdr:to>
      <cdr:x>0.49192</cdr:x>
      <cdr:y>0.63402</cdr:y>
    </cdr:to>
    <cdr:sp macro="" textlink="">
      <cdr:nvSpPr>
        <cdr:cNvPr id="3089" name="Text Box 1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76325" y="1468120"/>
          <a:ext cx="457181" cy="1414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Hidden 2</a:t>
          </a:r>
        </a:p>
      </cdr:txBody>
    </cdr:sp>
  </cdr:relSizeAnchor>
  <cdr:relSizeAnchor xmlns:cdr="http://schemas.openxmlformats.org/drawingml/2006/chartDrawing">
    <cdr:from>
      <cdr:x>0.23543</cdr:x>
      <cdr:y>0.19468</cdr:y>
    </cdr:from>
    <cdr:to>
      <cdr:x>0.31399</cdr:x>
      <cdr:y>0.25074</cdr:y>
    </cdr:to>
    <cdr:sp macro="" textlink="">
      <cdr:nvSpPr>
        <cdr:cNvPr id="3090" name="Text Box 1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70580" y="496418"/>
          <a:ext cx="356202" cy="1420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W11</a:t>
          </a:r>
        </a:p>
      </cdr:txBody>
    </cdr:sp>
  </cdr:relSizeAnchor>
  <cdr:relSizeAnchor xmlns:cdr="http://schemas.openxmlformats.org/drawingml/2006/chartDrawing">
    <cdr:from>
      <cdr:x>0.23543</cdr:x>
      <cdr:y>0.45477</cdr:y>
    </cdr:from>
    <cdr:to>
      <cdr:x>0.31399</cdr:x>
      <cdr:y>0.51059</cdr:y>
    </cdr:to>
    <cdr:sp macro="" textlink="">
      <cdr:nvSpPr>
        <cdr:cNvPr id="3091" name="Text Box 1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70580" y="1155395"/>
          <a:ext cx="356202" cy="14142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W12</a:t>
          </a:r>
        </a:p>
      </cdr:txBody>
    </cdr:sp>
  </cdr:relSizeAnchor>
  <cdr:relSizeAnchor xmlns:cdr="http://schemas.openxmlformats.org/drawingml/2006/chartDrawing">
    <cdr:from>
      <cdr:x>0.51322</cdr:x>
      <cdr:y>0.19468</cdr:y>
    </cdr:from>
    <cdr:to>
      <cdr:x>0.59203</cdr:x>
      <cdr:y>0.25074</cdr:y>
    </cdr:to>
    <cdr:sp macro="" textlink="">
      <cdr:nvSpPr>
        <cdr:cNvPr id="3092" name="Text Box 2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30047" y="496418"/>
          <a:ext cx="357311" cy="1420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W10</a:t>
          </a:r>
        </a:p>
      </cdr:txBody>
    </cdr:sp>
  </cdr:relSizeAnchor>
  <cdr:relSizeAnchor xmlns:cdr="http://schemas.openxmlformats.org/drawingml/2006/chartDrawing">
    <cdr:from>
      <cdr:x>0.52521</cdr:x>
      <cdr:y>0.47065</cdr:y>
    </cdr:from>
    <cdr:to>
      <cdr:x>0.60402</cdr:x>
      <cdr:y>0.52671</cdr:y>
    </cdr:to>
    <cdr:sp macro="" textlink="">
      <cdr:nvSpPr>
        <cdr:cNvPr id="3093" name="Text Box 2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84420" y="1195629"/>
          <a:ext cx="357312" cy="1420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W20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504825</xdr:colOff>
      <xdr:row>20</xdr:row>
      <xdr:rowOff>142875</xdr:rowOff>
    </xdr:from>
    <xdr:to>
      <xdr:col>10</xdr:col>
      <xdr:colOff>171450</xdr:colOff>
      <xdr:row>41</xdr:row>
      <xdr:rowOff>47625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371475</xdr:colOff>
      <xdr:row>2</xdr:row>
      <xdr:rowOff>19050</xdr:rowOff>
    </xdr:from>
    <xdr:to>
      <xdr:col>14</xdr:col>
      <xdr:colOff>66675</xdr:colOff>
      <xdr:row>16</xdr:row>
      <xdr:rowOff>57150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200025</xdr:colOff>
      <xdr:row>11</xdr:row>
      <xdr:rowOff>95250</xdr:rowOff>
    </xdr:from>
    <xdr:to>
      <xdr:col>13</xdr:col>
      <xdr:colOff>371475</xdr:colOff>
      <xdr:row>14</xdr:row>
      <xdr:rowOff>85725</xdr:rowOff>
    </xdr:to>
    <xdr:sp macro="" textlink="">
      <xdr:nvSpPr>
        <xdr:cNvPr id="2" name="TextBox 1"/>
        <xdr:cNvSpPr txBox="1"/>
      </xdr:nvSpPr>
      <xdr:spPr>
        <a:xfrm>
          <a:off x="7572375" y="2190750"/>
          <a:ext cx="2000250" cy="561975"/>
        </a:xfrm>
        <a:prstGeom prst="roundRect">
          <a:avLst/>
        </a:prstGeom>
        <a:solidFill>
          <a:schemeClr val="bg1">
            <a:shade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Again, there could be a few additional "bias"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arrows.</a:t>
          </a:r>
          <a:endParaRPr lang="en-US">
            <a:effectLst/>
          </a:endParaRP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0.13335</cdr:x>
      <cdr:y>0.16085</cdr:y>
    </cdr:from>
    <cdr:to>
      <cdr:x>0.18955</cdr:x>
      <cdr:y>0.24448</cdr:y>
    </cdr:to>
    <cdr:sp macro="" textlink="">
      <cdr:nvSpPr>
        <cdr:cNvPr id="4097" name="Oval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95428" y="508762"/>
          <a:ext cx="291739" cy="262890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FF"/>
        </a:solidFill>
        <a:ln xmlns:a="http://schemas.openxmlformats.org/drawingml/2006/main" w="9525" algn="ctr">
          <a:solidFill>
            <a:srgbClr val="000000"/>
          </a:solidFill>
          <a:round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0.40012</cdr:x>
      <cdr:y>0.16085</cdr:y>
    </cdr:from>
    <cdr:to>
      <cdr:x>0.45607</cdr:x>
      <cdr:y>0.24545</cdr:y>
    </cdr:to>
    <cdr:sp macro="" textlink="">
      <cdr:nvSpPr>
        <cdr:cNvPr id="4098" name="Oval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80232" y="508762"/>
          <a:ext cx="290465" cy="265938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FF"/>
        </a:solidFill>
        <a:ln xmlns:a="http://schemas.openxmlformats.org/drawingml/2006/main" w="9525" algn="ctr">
          <a:solidFill>
            <a:srgbClr val="000000"/>
          </a:solidFill>
          <a:round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0.40012</cdr:x>
      <cdr:y>0.46994</cdr:y>
    </cdr:from>
    <cdr:to>
      <cdr:x>0.45607</cdr:x>
      <cdr:y>0.55455</cdr:y>
    </cdr:to>
    <cdr:sp macro="" textlink="">
      <cdr:nvSpPr>
        <cdr:cNvPr id="4099" name="Oval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80232" y="1480312"/>
          <a:ext cx="290465" cy="265938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FF"/>
        </a:solidFill>
        <a:ln xmlns:a="http://schemas.openxmlformats.org/drawingml/2006/main" w="9525" algn="ctr">
          <a:solidFill>
            <a:srgbClr val="000000"/>
          </a:solidFill>
          <a:round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0.64332</cdr:x>
      <cdr:y>0.31988</cdr:y>
    </cdr:from>
    <cdr:to>
      <cdr:x>0.69952</cdr:x>
      <cdr:y>0.40545</cdr:y>
    </cdr:to>
    <cdr:sp macro="" textlink="">
      <cdr:nvSpPr>
        <cdr:cNvPr id="4100" name="Oval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342735" y="1008634"/>
          <a:ext cx="291739" cy="268986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FF"/>
        </a:solidFill>
        <a:ln xmlns:a="http://schemas.openxmlformats.org/drawingml/2006/main" w="9525" algn="ctr">
          <a:solidFill>
            <a:srgbClr val="000000"/>
          </a:solidFill>
          <a:round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0.19029</cdr:x>
      <cdr:y>0.2137</cdr:y>
    </cdr:from>
    <cdr:to>
      <cdr:x>0.40012</cdr:x>
      <cdr:y>0.21539</cdr:y>
    </cdr:to>
    <cdr:sp macro="" textlink="">
      <cdr:nvSpPr>
        <cdr:cNvPr id="4101" name="Line 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990989" y="674878"/>
          <a:ext cx="1089243" cy="533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0.18023</cdr:x>
      <cdr:y>0.24545</cdr:y>
    </cdr:from>
    <cdr:to>
      <cdr:x>0.40012</cdr:x>
      <cdr:y>0.49636</cdr:y>
    </cdr:to>
    <cdr:sp macro="" textlink="">
      <cdr:nvSpPr>
        <cdr:cNvPr id="4102" name="Line 6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938756" y="774700"/>
          <a:ext cx="1141476" cy="78867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0.45607</cdr:x>
      <cdr:y>0.2137</cdr:y>
    </cdr:from>
    <cdr:to>
      <cdr:x>0.64332</cdr:x>
      <cdr:y>0.33903</cdr:y>
    </cdr:to>
    <cdr:sp macro="" textlink="">
      <cdr:nvSpPr>
        <cdr:cNvPr id="4103" name="Line 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370697" y="674878"/>
          <a:ext cx="972038" cy="39395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0.45607</cdr:x>
      <cdr:y>0.37006</cdr:y>
    </cdr:from>
    <cdr:to>
      <cdr:x>0.64332</cdr:x>
      <cdr:y>0.51188</cdr:y>
    </cdr:to>
    <cdr:sp macro="" textlink="">
      <cdr:nvSpPr>
        <cdr:cNvPr id="4104" name="Line 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2370697" y="1166368"/>
          <a:ext cx="972038" cy="44577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0.11004</cdr:x>
      <cdr:y>0.08182</cdr:y>
    </cdr:from>
    <cdr:to>
      <cdr:x>0.18955</cdr:x>
      <cdr:y>0.13903</cdr:y>
    </cdr:to>
    <cdr:sp macro="" textlink="">
      <cdr:nvSpPr>
        <cdr:cNvPr id="4105" name="Text Box 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74401" y="260350"/>
          <a:ext cx="412766" cy="1798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75" b="0" i="0" strike="noStrike">
              <a:solidFill>
                <a:srgbClr val="000000"/>
              </a:solidFill>
              <a:latin typeface="Arial"/>
              <a:cs typeface="Arial"/>
            </a:rPr>
            <a:t>Input 1</a:t>
          </a:r>
        </a:p>
      </cdr:txBody>
    </cdr:sp>
  </cdr:relSizeAnchor>
  <cdr:relSizeAnchor xmlns:cdr="http://schemas.openxmlformats.org/drawingml/2006/chartDrawing">
    <cdr:from>
      <cdr:x>0.65265</cdr:x>
      <cdr:y>0.2263</cdr:y>
    </cdr:from>
    <cdr:to>
      <cdr:x>0.73216</cdr:x>
      <cdr:y>0.28352</cdr:y>
    </cdr:to>
    <cdr:sp macro="" textlink="">
      <cdr:nvSpPr>
        <cdr:cNvPr id="4106" name="Text Box 1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391146" y="714502"/>
          <a:ext cx="412766" cy="1798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75" b="0" i="0" strike="noStrike">
              <a:solidFill>
                <a:srgbClr val="000000"/>
              </a:solidFill>
              <a:latin typeface="Arial"/>
              <a:cs typeface="Arial"/>
            </a:rPr>
            <a:t>Output</a:t>
          </a:r>
        </a:p>
      </cdr:txBody>
    </cdr:sp>
  </cdr:relSizeAnchor>
  <cdr:relSizeAnchor xmlns:cdr="http://schemas.openxmlformats.org/drawingml/2006/chartDrawing">
    <cdr:from>
      <cdr:x>0.39055</cdr:x>
      <cdr:y>0.08182</cdr:y>
    </cdr:from>
    <cdr:to>
      <cdr:x>0.51423</cdr:x>
      <cdr:y>0.13006</cdr:y>
    </cdr:to>
    <cdr:sp macro="" textlink="">
      <cdr:nvSpPr>
        <cdr:cNvPr id="4107" name="Text Box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0547" y="260350"/>
          <a:ext cx="642081" cy="1516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75" b="0" i="0" strike="noStrike">
              <a:solidFill>
                <a:srgbClr val="000000"/>
              </a:solidFill>
              <a:latin typeface="Arial"/>
              <a:cs typeface="Arial"/>
            </a:rPr>
            <a:t>Hidden 1</a:t>
          </a:r>
        </a:p>
      </cdr:txBody>
    </cdr:sp>
  </cdr:relSizeAnchor>
  <cdr:relSizeAnchor xmlns:cdr="http://schemas.openxmlformats.org/drawingml/2006/chartDrawing">
    <cdr:from>
      <cdr:x>0.39055</cdr:x>
      <cdr:y>0.58</cdr:y>
    </cdr:from>
    <cdr:to>
      <cdr:x>0.52626</cdr:x>
      <cdr:y>0.63624</cdr:y>
    </cdr:to>
    <cdr:sp macro="" textlink="">
      <cdr:nvSpPr>
        <cdr:cNvPr id="4108" name="Text Box 1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0547" y="1826260"/>
          <a:ext cx="704505" cy="1767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75" b="0" i="0" strike="noStrike">
              <a:solidFill>
                <a:srgbClr val="000000"/>
              </a:solidFill>
              <a:latin typeface="Arial"/>
              <a:cs typeface="Arial"/>
            </a:rPr>
            <a:t>Hidden 2</a:t>
          </a:r>
        </a:p>
      </cdr:txBody>
    </cdr:sp>
  </cdr:relSizeAnchor>
  <cdr:relSizeAnchor xmlns:cdr="http://schemas.openxmlformats.org/drawingml/2006/chartDrawing">
    <cdr:from>
      <cdr:x>0.2325</cdr:x>
      <cdr:y>0.13006</cdr:y>
    </cdr:from>
    <cdr:to>
      <cdr:x>0.31201</cdr:x>
      <cdr:y>0.18727</cdr:y>
    </cdr:to>
    <cdr:sp macro="" textlink="">
      <cdr:nvSpPr>
        <cdr:cNvPr id="4109" name="Text Box 1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10112" y="411988"/>
          <a:ext cx="412765" cy="1798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75" b="0" i="0" strike="noStrike">
              <a:solidFill>
                <a:srgbClr val="000000"/>
              </a:solidFill>
              <a:latin typeface="Arial"/>
              <a:cs typeface="Arial"/>
            </a:rPr>
            <a:t>W11</a:t>
          </a:r>
        </a:p>
      </cdr:txBody>
    </cdr:sp>
  </cdr:relSizeAnchor>
  <cdr:relSizeAnchor xmlns:cdr="http://schemas.openxmlformats.org/drawingml/2006/chartDrawing">
    <cdr:from>
      <cdr:x>0.16329</cdr:x>
      <cdr:y>0.28448</cdr:y>
    </cdr:from>
    <cdr:to>
      <cdr:x>0.24281</cdr:x>
      <cdr:y>0.3417</cdr:y>
    </cdr:to>
    <cdr:sp macro="" textlink="">
      <cdr:nvSpPr>
        <cdr:cNvPr id="4110" name="Text Box 1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50852" y="897382"/>
          <a:ext cx="412766" cy="1798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75" b="0" i="0" strike="noStrike">
              <a:solidFill>
                <a:srgbClr val="000000"/>
              </a:solidFill>
              <a:latin typeface="Arial"/>
              <a:cs typeface="Arial"/>
            </a:rPr>
            <a:t>W12</a:t>
          </a:r>
        </a:p>
      </cdr:txBody>
    </cdr:sp>
  </cdr:relSizeAnchor>
  <cdr:relSizeAnchor xmlns:cdr="http://schemas.openxmlformats.org/drawingml/2006/chartDrawing">
    <cdr:from>
      <cdr:x>0.51423</cdr:x>
      <cdr:y>0.18727</cdr:y>
    </cdr:from>
    <cdr:to>
      <cdr:x>0.59375</cdr:x>
      <cdr:y>0.24448</cdr:y>
    </cdr:to>
    <cdr:sp macro="" textlink="">
      <cdr:nvSpPr>
        <cdr:cNvPr id="4111" name="Text Box 1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672628" y="591820"/>
          <a:ext cx="412766" cy="1798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75" b="0" i="0" strike="noStrike">
              <a:solidFill>
                <a:srgbClr val="000000"/>
              </a:solidFill>
              <a:latin typeface="Arial"/>
              <a:cs typeface="Arial"/>
            </a:rPr>
            <a:t>W10</a:t>
          </a:r>
        </a:p>
      </cdr:txBody>
    </cdr:sp>
  </cdr:relSizeAnchor>
  <cdr:relSizeAnchor xmlns:cdr="http://schemas.openxmlformats.org/drawingml/2006/chartDrawing">
    <cdr:from>
      <cdr:x>0.52626</cdr:x>
      <cdr:y>0.46994</cdr:y>
    </cdr:from>
    <cdr:to>
      <cdr:x>0.60577</cdr:x>
      <cdr:y>0.52715</cdr:y>
    </cdr:to>
    <cdr:sp macro="" textlink="">
      <cdr:nvSpPr>
        <cdr:cNvPr id="4112" name="Text Box 1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35052" y="1480312"/>
          <a:ext cx="412766" cy="1798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75" b="0" i="0" strike="noStrike">
              <a:solidFill>
                <a:srgbClr val="000000"/>
              </a:solidFill>
              <a:latin typeface="Arial"/>
              <a:cs typeface="Arial"/>
            </a:rPr>
            <a:t>W20</a:t>
          </a:r>
        </a:p>
      </cdr:txBody>
    </cdr:sp>
  </cdr:relSizeAnchor>
  <cdr:relSizeAnchor xmlns:cdr="http://schemas.openxmlformats.org/drawingml/2006/chartDrawing">
    <cdr:from>
      <cdr:x>0.13335</cdr:x>
      <cdr:y>0.4937</cdr:y>
    </cdr:from>
    <cdr:to>
      <cdr:x>0.18955</cdr:x>
      <cdr:y>0.57733</cdr:y>
    </cdr:to>
    <cdr:sp macro="" textlink="">
      <cdr:nvSpPr>
        <cdr:cNvPr id="4113" name="Oval 17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95428" y="1554988"/>
          <a:ext cx="291739" cy="262890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FF"/>
        </a:solidFill>
        <a:ln xmlns:a="http://schemas.openxmlformats.org/drawingml/2006/main" w="9525" algn="ctr">
          <a:solidFill>
            <a:srgbClr val="000000"/>
          </a:solidFill>
          <a:round/>
          <a:headEnd/>
          <a:tailEnd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0.18023</cdr:x>
      <cdr:y>0.22727</cdr:y>
    </cdr:from>
    <cdr:to>
      <cdr:x>0.40012</cdr:x>
      <cdr:y>0.51188</cdr:y>
    </cdr:to>
    <cdr:sp macro="" textlink="">
      <cdr:nvSpPr>
        <cdr:cNvPr id="4115" name="Line 19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938756" y="717550"/>
          <a:ext cx="1141476" cy="894588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0.19029</cdr:x>
      <cdr:y>0.52715</cdr:y>
    </cdr:from>
    <cdr:to>
      <cdr:x>0.40012</cdr:x>
      <cdr:y>0.52715</cdr:y>
    </cdr:to>
    <cdr:sp macro="" textlink="">
      <cdr:nvSpPr>
        <cdr:cNvPr id="4116" name="Line 20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990989" y="1660144"/>
          <a:ext cx="1089243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  <a:effectLst xmlns:a="http://schemas.openxmlformats.org/drawingml/2006/main"/>
      </cdr:spPr>
    </cdr:sp>
  </cdr:relSizeAnchor>
  <cdr:relSizeAnchor xmlns:cdr="http://schemas.openxmlformats.org/drawingml/2006/chartDrawing">
    <cdr:from>
      <cdr:x>0.2325</cdr:x>
      <cdr:y>0.43624</cdr:y>
    </cdr:from>
    <cdr:to>
      <cdr:x>0.31201</cdr:x>
      <cdr:y>0.4937</cdr:y>
    </cdr:to>
    <cdr:sp macro="" textlink="">
      <cdr:nvSpPr>
        <cdr:cNvPr id="4117" name="Text Box 2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10112" y="1374394"/>
          <a:ext cx="412765" cy="1805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75" b="0" i="0" strike="noStrike">
              <a:solidFill>
                <a:srgbClr val="000000"/>
              </a:solidFill>
              <a:latin typeface="Arial"/>
              <a:cs typeface="Arial"/>
            </a:rPr>
            <a:t>W21</a:t>
          </a:r>
        </a:p>
      </cdr:txBody>
    </cdr:sp>
  </cdr:relSizeAnchor>
  <cdr:relSizeAnchor xmlns:cdr="http://schemas.openxmlformats.org/drawingml/2006/chartDrawing">
    <cdr:from>
      <cdr:x>0.2325</cdr:x>
      <cdr:y>0.55455</cdr:y>
    </cdr:from>
    <cdr:to>
      <cdr:x>0.31201</cdr:x>
      <cdr:y>0.61176</cdr:y>
    </cdr:to>
    <cdr:sp macro="" textlink="">
      <cdr:nvSpPr>
        <cdr:cNvPr id="4118" name="Text Box 2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10112" y="1746250"/>
          <a:ext cx="412765" cy="1798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75" b="0" i="0" strike="noStrike">
              <a:solidFill>
                <a:srgbClr val="000000"/>
              </a:solidFill>
              <a:latin typeface="Arial"/>
              <a:cs typeface="Arial"/>
            </a:rPr>
            <a:t>W22</a:t>
          </a:r>
        </a:p>
      </cdr:txBody>
    </cdr:sp>
  </cdr:relSizeAnchor>
  <cdr:relSizeAnchor xmlns:cdr="http://schemas.openxmlformats.org/drawingml/2006/chartDrawing">
    <cdr:from>
      <cdr:x>0.11176</cdr:x>
      <cdr:y>0.59358</cdr:y>
    </cdr:from>
    <cdr:to>
      <cdr:x>0.19127</cdr:x>
      <cdr:y>0.65079</cdr:y>
    </cdr:to>
    <cdr:sp macro="" textlink="">
      <cdr:nvSpPr>
        <cdr:cNvPr id="4119" name="Text Box 2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3319" y="1868932"/>
          <a:ext cx="412766" cy="1798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algn="ctr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875" b="0" i="0" strike="noStrike">
              <a:solidFill>
                <a:srgbClr val="000000"/>
              </a:solidFill>
              <a:latin typeface="Arial"/>
              <a:cs typeface="Arial"/>
            </a:rPr>
            <a:t>Input 2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</xdr:row>
      <xdr:rowOff>114300</xdr:rowOff>
    </xdr:from>
    <xdr:to>
      <xdr:col>10</xdr:col>
      <xdr:colOff>400050</xdr:colOff>
      <xdr:row>17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9"/>
  <sheetViews>
    <sheetView tabSelected="1" workbookViewId="0"/>
  </sheetViews>
  <sheetFormatPr defaultRowHeight="15" x14ac:dyDescent="0.25"/>
  <cols>
    <col min="1" max="1" width="23.28515625" style="2" customWidth="1"/>
    <col min="2" max="2" width="9.140625" style="2"/>
    <col min="3" max="3" width="13.7109375" style="2" customWidth="1"/>
    <col min="4" max="16384" width="9.140625" style="2"/>
  </cols>
  <sheetData>
    <row r="1" spans="1:3" x14ac:dyDescent="0.25">
      <c r="A1" s="1" t="s">
        <v>13</v>
      </c>
    </row>
    <row r="3" spans="1:3" x14ac:dyDescent="0.25">
      <c r="A3" s="2" t="s">
        <v>17</v>
      </c>
      <c r="B3" s="3" t="s">
        <v>0</v>
      </c>
      <c r="C3" s="3" t="s">
        <v>1</v>
      </c>
    </row>
    <row r="4" spans="1:3" x14ac:dyDescent="0.25">
      <c r="A4" s="2" t="s">
        <v>5</v>
      </c>
      <c r="B4" s="2">
        <v>10000</v>
      </c>
      <c r="C4" s="2">
        <v>500</v>
      </c>
    </row>
    <row r="5" spans="1:3" x14ac:dyDescent="0.25">
      <c r="A5" s="2" t="s">
        <v>6</v>
      </c>
      <c r="B5" s="2">
        <v>100000</v>
      </c>
      <c r="C5" s="2">
        <v>700</v>
      </c>
    </row>
    <row r="7" spans="1:3" x14ac:dyDescent="0.25">
      <c r="A7" s="2" t="s">
        <v>8</v>
      </c>
    </row>
    <row r="8" spans="1:3" x14ac:dyDescent="0.25">
      <c r="A8" s="2" t="s">
        <v>0</v>
      </c>
      <c r="B8" s="2">
        <v>30000</v>
      </c>
    </row>
    <row r="9" spans="1:3" x14ac:dyDescent="0.25">
      <c r="A9" s="2" t="s">
        <v>4</v>
      </c>
      <c r="B9" s="2">
        <f>(B8-B4)/(B5-B4)</f>
        <v>0.22222222222222221</v>
      </c>
    </row>
    <row r="10" spans="1:3" x14ac:dyDescent="0.25">
      <c r="A10" s="2" t="s">
        <v>19</v>
      </c>
      <c r="B10" s="8">
        <v>1</v>
      </c>
      <c r="C10" s="8">
        <v>-4</v>
      </c>
    </row>
    <row r="11" spans="1:3" x14ac:dyDescent="0.25">
      <c r="A11" s="2" t="s">
        <v>3</v>
      </c>
      <c r="B11" s="2">
        <f>$B$9*B10</f>
        <v>0.22222222222222221</v>
      </c>
      <c r="C11" s="2">
        <f>$B$9*C10</f>
        <v>-0.88888888888888884</v>
      </c>
    </row>
    <row r="12" spans="1:3" x14ac:dyDescent="0.25">
      <c r="A12" s="2" t="s">
        <v>2</v>
      </c>
      <c r="B12" s="2">
        <f>Logistic(B11)</f>
        <v>0.55532807111740112</v>
      </c>
      <c r="C12" s="2">
        <f>Logistic(C11)</f>
        <v>0.29133915901184082</v>
      </c>
    </row>
    <row r="13" spans="1:3" x14ac:dyDescent="0.25">
      <c r="A13" s="2" t="s">
        <v>20</v>
      </c>
      <c r="B13" s="8">
        <v>3</v>
      </c>
      <c r="C13" s="8">
        <v>2</v>
      </c>
    </row>
    <row r="14" spans="1:3" x14ac:dyDescent="0.25">
      <c r="A14" s="2" t="s">
        <v>14</v>
      </c>
      <c r="B14" s="2">
        <f>SUMPRODUCT(B12:C12,B13:C13)</f>
        <v>2.248662531375885</v>
      </c>
    </row>
    <row r="15" spans="1:3" x14ac:dyDescent="0.25">
      <c r="A15" s="2" t="s">
        <v>18</v>
      </c>
      <c r="B15" s="2">
        <f>Logistic(B14)</f>
        <v>0.90453511476516724</v>
      </c>
    </row>
    <row r="16" spans="1:3" x14ac:dyDescent="0.25">
      <c r="A16" s="2" t="s">
        <v>1</v>
      </c>
      <c r="B16" s="4">
        <f>C4+B15*(C5-C4)</f>
        <v>680.90702295303345</v>
      </c>
    </row>
    <row r="18" spans="1:8" x14ac:dyDescent="0.25">
      <c r="A18" s="7" t="s">
        <v>24</v>
      </c>
      <c r="F18" s="3"/>
      <c r="H18" s="5"/>
    </row>
    <row r="19" spans="1:8" x14ac:dyDescent="0.25">
      <c r="A19" s="3" t="s">
        <v>0</v>
      </c>
      <c r="B19" s="3" t="s">
        <v>1</v>
      </c>
    </row>
    <row r="20" spans="1:8" x14ac:dyDescent="0.25">
      <c r="B20" s="4">
        <f>B16</f>
        <v>680.90702295303345</v>
      </c>
    </row>
    <row r="21" spans="1:8" x14ac:dyDescent="0.25">
      <c r="A21" s="2">
        <v>10000</v>
      </c>
      <c r="B21" s="2">
        <f t="dataTable" ref="B21:B39" dt2D="0" dtr="0" r1="B8"/>
        <v>684.82836484909058</v>
      </c>
    </row>
    <row r="22" spans="1:8" x14ac:dyDescent="0.25">
      <c r="A22" s="2">
        <v>15000</v>
      </c>
      <c r="B22" s="2">
        <v>683.83216857910156</v>
      </c>
    </row>
    <row r="23" spans="1:8" x14ac:dyDescent="0.25">
      <c r="A23" s="2">
        <v>20000</v>
      </c>
      <c r="B23" s="2">
        <v>682.81774520874023</v>
      </c>
      <c r="F23" s="3"/>
      <c r="H23" s="5"/>
    </row>
    <row r="24" spans="1:8" x14ac:dyDescent="0.25">
      <c r="A24" s="2">
        <v>25000</v>
      </c>
      <c r="B24" s="2">
        <v>681.82832002639771</v>
      </c>
    </row>
    <row r="25" spans="1:8" x14ac:dyDescent="0.25">
      <c r="A25" s="2">
        <v>30000</v>
      </c>
      <c r="B25" s="2">
        <v>680.90702295303345</v>
      </c>
    </row>
    <row r="26" spans="1:8" x14ac:dyDescent="0.25">
      <c r="A26" s="2">
        <v>35000</v>
      </c>
      <c r="B26" s="2">
        <v>680.0917387008667</v>
      </c>
    </row>
    <row r="27" spans="1:8" x14ac:dyDescent="0.25">
      <c r="A27" s="2">
        <v>40000</v>
      </c>
      <c r="B27" s="2">
        <v>679.41110134124756</v>
      </c>
    </row>
    <row r="28" spans="1:8" x14ac:dyDescent="0.25">
      <c r="A28" s="2">
        <v>45000</v>
      </c>
      <c r="B28" s="2">
        <v>678.88230085372925</v>
      </c>
    </row>
    <row r="29" spans="1:8" x14ac:dyDescent="0.25">
      <c r="A29" s="2">
        <v>50000</v>
      </c>
      <c r="B29" s="2">
        <v>678.51098775863647</v>
      </c>
    </row>
    <row r="30" spans="1:8" x14ac:dyDescent="0.25">
      <c r="A30" s="2">
        <v>55000</v>
      </c>
      <c r="B30" s="2">
        <v>678.29281091690063</v>
      </c>
    </row>
    <row r="31" spans="1:8" x14ac:dyDescent="0.25">
      <c r="A31" s="2">
        <v>60000</v>
      </c>
      <c r="B31" s="2">
        <v>678.21590900421143</v>
      </c>
    </row>
    <row r="32" spans="1:8" x14ac:dyDescent="0.25">
      <c r="A32" s="2">
        <v>65000</v>
      </c>
      <c r="B32" s="2">
        <v>678.26358079910278</v>
      </c>
    </row>
    <row r="33" spans="1:2" x14ac:dyDescent="0.25">
      <c r="A33" s="2">
        <v>70000</v>
      </c>
      <c r="B33" s="2">
        <v>678.4168004989624</v>
      </c>
    </row>
    <row r="34" spans="1:2" x14ac:dyDescent="0.25">
      <c r="A34" s="2">
        <v>75000</v>
      </c>
      <c r="B34" s="2">
        <v>678.65614891052246</v>
      </c>
    </row>
    <row r="35" spans="1:2" x14ac:dyDescent="0.25">
      <c r="A35" s="2">
        <v>80000</v>
      </c>
      <c r="B35" s="2">
        <v>678.9631724357605</v>
      </c>
    </row>
    <row r="36" spans="1:2" x14ac:dyDescent="0.25">
      <c r="A36" s="2">
        <v>85000</v>
      </c>
      <c r="B36" s="2">
        <v>679.32116985321045</v>
      </c>
    </row>
    <row r="37" spans="1:2" x14ac:dyDescent="0.25">
      <c r="A37" s="2">
        <v>90000</v>
      </c>
      <c r="B37" s="2">
        <v>679.71565723419189</v>
      </c>
    </row>
    <row r="38" spans="1:2" x14ac:dyDescent="0.25">
      <c r="A38" s="2">
        <v>95000</v>
      </c>
      <c r="B38" s="2">
        <v>680.13440370559692</v>
      </c>
    </row>
    <row r="39" spans="1:2" x14ac:dyDescent="0.25">
      <c r="A39" s="2">
        <v>100000</v>
      </c>
      <c r="B39" s="2">
        <v>680.5673360824585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8"/>
  <sheetViews>
    <sheetView workbookViewId="0"/>
  </sheetViews>
  <sheetFormatPr defaultRowHeight="15" x14ac:dyDescent="0.25"/>
  <cols>
    <col min="1" max="1" width="28.28515625" style="2" customWidth="1"/>
    <col min="2" max="16384" width="9.140625" style="2"/>
  </cols>
  <sheetData>
    <row r="1" spans="1:5" x14ac:dyDescent="0.25">
      <c r="A1" s="1" t="s">
        <v>7</v>
      </c>
    </row>
    <row r="3" spans="1:5" x14ac:dyDescent="0.25">
      <c r="A3" s="2" t="s">
        <v>16</v>
      </c>
      <c r="B3" s="3" t="s">
        <v>9</v>
      </c>
      <c r="C3" s="3" t="s">
        <v>10</v>
      </c>
      <c r="D3" s="3" t="s">
        <v>1</v>
      </c>
    </row>
    <row r="4" spans="1:5" x14ac:dyDescent="0.25">
      <c r="A4" s="2" t="s">
        <v>5</v>
      </c>
      <c r="B4" s="2">
        <v>10000</v>
      </c>
      <c r="C4" s="2">
        <v>0</v>
      </c>
      <c r="D4" s="2">
        <v>-500</v>
      </c>
    </row>
    <row r="5" spans="1:5" x14ac:dyDescent="0.25">
      <c r="A5" s="2" t="s">
        <v>6</v>
      </c>
      <c r="B5" s="2">
        <v>100000</v>
      </c>
      <c r="C5" s="2">
        <v>100</v>
      </c>
      <c r="D5" s="2">
        <v>1000</v>
      </c>
    </row>
    <row r="7" spans="1:5" x14ac:dyDescent="0.25">
      <c r="A7" s="2" t="s">
        <v>8</v>
      </c>
    </row>
    <row r="8" spans="1:5" x14ac:dyDescent="0.25">
      <c r="A8" s="2" t="s">
        <v>15</v>
      </c>
      <c r="B8" s="2">
        <v>30000</v>
      </c>
      <c r="C8" s="2">
        <v>50</v>
      </c>
    </row>
    <row r="9" spans="1:5" x14ac:dyDescent="0.25">
      <c r="A9" s="2" t="s">
        <v>11</v>
      </c>
      <c r="B9" s="2">
        <f>(B8-B4)/(B5-B4)</f>
        <v>0.22222222222222221</v>
      </c>
      <c r="C9" s="2">
        <f>(C8-C4)/(C5-C4)</f>
        <v>0.5</v>
      </c>
    </row>
    <row r="10" spans="1:5" x14ac:dyDescent="0.25">
      <c r="A10" s="2" t="s">
        <v>21</v>
      </c>
      <c r="B10" s="8">
        <v>15</v>
      </c>
      <c r="C10" s="8">
        <v>-5</v>
      </c>
      <c r="D10" s="8">
        <v>10</v>
      </c>
      <c r="E10" s="8">
        <v>-5</v>
      </c>
    </row>
    <row r="11" spans="1:5" x14ac:dyDescent="0.25">
      <c r="A11" s="2" t="s">
        <v>3</v>
      </c>
      <c r="B11" s="2">
        <f>SUMPRODUCT(B9:C9,B10:C10)</f>
        <v>0.83333333333333304</v>
      </c>
      <c r="C11" s="2">
        <f>SUMPRODUCT(B9:C9,D10:E10)</f>
        <v>-0.27777777777777768</v>
      </c>
    </row>
    <row r="12" spans="1:5" x14ac:dyDescent="0.25">
      <c r="A12" s="2" t="s">
        <v>2</v>
      </c>
      <c r="B12" s="2">
        <f>Logistic(B11)</f>
        <v>0.6970592737197876</v>
      </c>
      <c r="C12" s="2">
        <f>Logistic(C11)</f>
        <v>0.43099865317344666</v>
      </c>
    </row>
    <row r="13" spans="1:5" x14ac:dyDescent="0.25">
      <c r="A13" s="2" t="s">
        <v>20</v>
      </c>
      <c r="B13" s="8">
        <v>-2</v>
      </c>
      <c r="C13" s="8">
        <v>1</v>
      </c>
    </row>
    <row r="14" spans="1:5" x14ac:dyDescent="0.25">
      <c r="A14" s="2" t="s">
        <v>14</v>
      </c>
      <c r="B14" s="2">
        <f>SUMPRODUCT(B12:C12,B13:C13)</f>
        <v>-0.96311989426612854</v>
      </c>
    </row>
    <row r="15" spans="1:5" x14ac:dyDescent="0.25">
      <c r="A15" s="2" t="s">
        <v>18</v>
      </c>
      <c r="B15" s="2">
        <f>Logistic(B14)</f>
        <v>0.27625396847724915</v>
      </c>
    </row>
    <row r="16" spans="1:5" x14ac:dyDescent="0.25">
      <c r="A16" s="2" t="s">
        <v>1</v>
      </c>
      <c r="B16" s="2">
        <f>D4+B15*(D5-D4)</f>
        <v>-85.619047284126282</v>
      </c>
    </row>
    <row r="18" spans="1:12" x14ac:dyDescent="0.25">
      <c r="A18" s="7" t="s">
        <v>12</v>
      </c>
    </row>
    <row r="19" spans="1:12" x14ac:dyDescent="0.25">
      <c r="A19" s="2">
        <f>B16</f>
        <v>-85.619047284126282</v>
      </c>
      <c r="B19" s="2">
        <v>0</v>
      </c>
      <c r="C19" s="2">
        <v>10</v>
      </c>
      <c r="D19" s="2">
        <v>20</v>
      </c>
      <c r="E19" s="2">
        <v>30</v>
      </c>
      <c r="F19" s="2">
        <v>40</v>
      </c>
      <c r="G19" s="2">
        <v>50</v>
      </c>
      <c r="H19" s="2">
        <v>60</v>
      </c>
      <c r="I19" s="2">
        <v>70</v>
      </c>
      <c r="J19" s="2">
        <v>80</v>
      </c>
      <c r="K19" s="2">
        <v>90</v>
      </c>
      <c r="L19" s="2">
        <v>100</v>
      </c>
    </row>
    <row r="20" spans="1:12" x14ac:dyDescent="0.25">
      <c r="A20" s="2">
        <v>10000</v>
      </c>
      <c r="B20" s="2">
        <f t="dataTable" ref="B20:L38" dt2D="1" dtr="0" r1="C8" r2="B8"/>
        <v>66.31101667881012</v>
      </c>
      <c r="C20" s="2">
        <v>110.080286860466</v>
      </c>
      <c r="D20" s="2">
        <v>149.7504711151123</v>
      </c>
      <c r="E20" s="2">
        <v>181.77953362464905</v>
      </c>
      <c r="F20" s="2">
        <v>205.35176992416382</v>
      </c>
      <c r="G20" s="2">
        <v>221.56679630279541</v>
      </c>
      <c r="H20" s="2">
        <v>232.21860826015472</v>
      </c>
      <c r="I20" s="2">
        <v>239.00870978832245</v>
      </c>
      <c r="J20" s="2">
        <v>243.2553619146347</v>
      </c>
      <c r="K20" s="2">
        <v>245.87994813919067</v>
      </c>
      <c r="L20" s="2">
        <v>247.49021232128143</v>
      </c>
    </row>
    <row r="21" spans="1:12" x14ac:dyDescent="0.25">
      <c r="A21" s="2">
        <v>15000</v>
      </c>
      <c r="B21" s="2">
        <v>-21.605491638183594</v>
      </c>
      <c r="C21" s="2">
        <v>14.060154557228088</v>
      </c>
      <c r="D21" s="2">
        <v>57.113632559776306</v>
      </c>
      <c r="E21" s="2">
        <v>102.51502692699432</v>
      </c>
      <c r="F21" s="2">
        <v>144.1887766122818</v>
      </c>
      <c r="G21" s="2">
        <v>178.00566554069519</v>
      </c>
      <c r="H21" s="2">
        <v>202.91614532470703</v>
      </c>
      <c r="I21" s="2">
        <v>220.03896534442902</v>
      </c>
      <c r="J21" s="2">
        <v>231.27482831478119</v>
      </c>
      <c r="K21" s="2">
        <v>238.43042552471161</v>
      </c>
      <c r="L21" s="2">
        <v>242.90260672569275</v>
      </c>
    </row>
    <row r="22" spans="1:12" x14ac:dyDescent="0.25">
      <c r="A22" s="2">
        <v>20000</v>
      </c>
      <c r="B22" s="2">
        <v>-75.590312480926514</v>
      </c>
      <c r="C22" s="2">
        <v>-59.265896677970886</v>
      </c>
      <c r="D22" s="2">
        <v>-32.958254218101501</v>
      </c>
      <c r="E22" s="2">
        <v>4.6744793653488159</v>
      </c>
      <c r="F22" s="2">
        <v>51.053538918495178</v>
      </c>
      <c r="G22" s="2">
        <v>99.700808525085449</v>
      </c>
      <c r="H22" s="2">
        <v>143.53176951408386</v>
      </c>
      <c r="I22" s="2">
        <v>178.34693193435669</v>
      </c>
      <c r="J22" s="2">
        <v>203.52447032928467</v>
      </c>
      <c r="K22" s="2">
        <v>220.59480845928192</v>
      </c>
      <c r="L22" s="2">
        <v>231.69133067131042</v>
      </c>
    </row>
    <row r="23" spans="1:12" x14ac:dyDescent="0.25">
      <c r="A23" s="2">
        <v>25000</v>
      </c>
      <c r="B23" s="2">
        <v>-98.693877458572388</v>
      </c>
      <c r="C23" s="2">
        <v>-96.308276057243347</v>
      </c>
      <c r="D23" s="2">
        <v>-88.991254568099976</v>
      </c>
      <c r="E23" s="2">
        <v>-72.730228304862976</v>
      </c>
      <c r="F23" s="2">
        <v>-43.735548853874207</v>
      </c>
      <c r="G23" s="2">
        <v>-1.3031810522079468</v>
      </c>
      <c r="H23" s="2">
        <v>50.024688243865967</v>
      </c>
      <c r="I23" s="2">
        <v>101.95364058017731</v>
      </c>
      <c r="J23" s="2">
        <v>146.98596298694611</v>
      </c>
      <c r="K23" s="2">
        <v>181.61922693252563</v>
      </c>
      <c r="L23" s="2">
        <v>206.07364177703857</v>
      </c>
    </row>
    <row r="24" spans="1:12" x14ac:dyDescent="0.25">
      <c r="A24" s="2">
        <v>30000</v>
      </c>
      <c r="B24" s="2">
        <v>-105.04865646362305</v>
      </c>
      <c r="C24" s="2">
        <v>-108.41581225395203</v>
      </c>
      <c r="D24" s="2">
        <v>-111.37723922729492</v>
      </c>
      <c r="E24" s="2">
        <v>-111.51380836963654</v>
      </c>
      <c r="F24" s="2">
        <v>-104.63327169418335</v>
      </c>
      <c r="G24" s="2">
        <v>-85.619047284126282</v>
      </c>
      <c r="H24" s="2">
        <v>-50.958111882209778</v>
      </c>
      <c r="I24" s="2">
        <v>-1.9258111715316772</v>
      </c>
      <c r="J24" s="2">
        <v>54.408267140388489</v>
      </c>
      <c r="K24" s="2">
        <v>108.49009454250336</v>
      </c>
      <c r="L24" s="2">
        <v>153.34007143974304</v>
      </c>
    </row>
    <row r="25" spans="1:12" x14ac:dyDescent="0.25">
      <c r="A25" s="2">
        <v>35000</v>
      </c>
      <c r="B25" s="2">
        <v>-104.79272902011871</v>
      </c>
      <c r="C25" s="2">
        <v>-109.18064415454865</v>
      </c>
      <c r="D25" s="2">
        <v>-115.09509384632111</v>
      </c>
      <c r="E25" s="2">
        <v>-122.00464308261871</v>
      </c>
      <c r="F25" s="2">
        <v>-127.97857075929642</v>
      </c>
      <c r="G25" s="2">
        <v>-129.10469621419907</v>
      </c>
      <c r="H25" s="2">
        <v>-119.85789239406586</v>
      </c>
      <c r="I25" s="2">
        <v>-94.995960593223572</v>
      </c>
      <c r="J25" s="2">
        <v>-52.609369158744812</v>
      </c>
      <c r="K25" s="2">
        <v>3.2963156700134277</v>
      </c>
      <c r="L25" s="2">
        <v>63.455447554588318</v>
      </c>
    </row>
    <row r="26" spans="1:12" x14ac:dyDescent="0.25">
      <c r="A26" s="2">
        <v>40000</v>
      </c>
      <c r="B26" s="2">
        <v>-102.76837646961212</v>
      </c>
      <c r="C26" s="2">
        <v>-106.41269385814667</v>
      </c>
      <c r="D26" s="2">
        <v>-111.86110973358154</v>
      </c>
      <c r="E26" s="2">
        <v>-119.51872706413269</v>
      </c>
      <c r="F26" s="2">
        <v>-129.24323230981827</v>
      </c>
      <c r="G26" s="2">
        <v>-139.60172235965729</v>
      </c>
      <c r="H26" s="2">
        <v>-147.15839922428131</v>
      </c>
      <c r="I26" s="2">
        <v>-146.53614908456802</v>
      </c>
      <c r="J26" s="2">
        <v>-131.78201019763947</v>
      </c>
      <c r="K26" s="2">
        <v>-98.784357309341431</v>
      </c>
      <c r="L26" s="2">
        <v>-48.054978251457214</v>
      </c>
    </row>
    <row r="27" spans="1:12" x14ac:dyDescent="0.25">
      <c r="A27" s="2">
        <v>45000</v>
      </c>
      <c r="B27" s="2">
        <v>-100.76722502708435</v>
      </c>
      <c r="C27" s="2">
        <v>-103.34505140781403</v>
      </c>
      <c r="D27" s="2">
        <v>-107.38043487071991</v>
      </c>
      <c r="E27" s="2">
        <v>-113.49564790725708</v>
      </c>
      <c r="F27" s="2">
        <v>-122.29369580745697</v>
      </c>
      <c r="G27" s="2">
        <v>-133.95064324140549</v>
      </c>
      <c r="H27" s="2">
        <v>-147.48658984899521</v>
      </c>
      <c r="I27" s="2">
        <v>-159.98834371566772</v>
      </c>
      <c r="J27" s="2">
        <v>-166.48590564727783</v>
      </c>
      <c r="K27" s="2">
        <v>-160.9843373298645</v>
      </c>
      <c r="L27" s="2">
        <v>-138.29416781663895</v>
      </c>
    </row>
    <row r="28" spans="1:12" x14ac:dyDescent="0.25">
      <c r="A28" s="2">
        <v>50000</v>
      </c>
      <c r="B28" s="2">
        <v>-99.255755543708801</v>
      </c>
      <c r="C28" s="2">
        <v>-100.93960165977478</v>
      </c>
      <c r="D28" s="2">
        <v>-103.6381721496582</v>
      </c>
      <c r="E28" s="2">
        <v>-107.88625478744507</v>
      </c>
      <c r="F28" s="2">
        <v>-114.38368260860443</v>
      </c>
      <c r="G28" s="2">
        <v>-123.87780845165253</v>
      </c>
      <c r="H28" s="2">
        <v>-136.79736107587814</v>
      </c>
      <c r="I28" s="2">
        <v>-152.55346149206161</v>
      </c>
      <c r="J28" s="2">
        <v>-168.73124986886978</v>
      </c>
      <c r="K28" s="2">
        <v>-180.84714561700821</v>
      </c>
      <c r="L28" s="2">
        <v>-183.19452553987503</v>
      </c>
    </row>
    <row r="29" spans="1:12" x14ac:dyDescent="0.25">
      <c r="A29" s="2">
        <v>55000</v>
      </c>
      <c r="B29" s="2">
        <v>-98.23356568813324</v>
      </c>
      <c r="C29" s="2">
        <v>-99.28499162197113</v>
      </c>
      <c r="D29" s="2">
        <v>-100.99154710769653</v>
      </c>
      <c r="E29" s="2">
        <v>-103.73352468013763</v>
      </c>
      <c r="F29" s="2">
        <v>-108.06819796562195</v>
      </c>
      <c r="G29" s="2">
        <v>-114.74417150020599</v>
      </c>
      <c r="H29" s="2">
        <v>-124.61081147193909</v>
      </c>
      <c r="I29" s="2">
        <v>-138.29367607831955</v>
      </c>
      <c r="J29" s="2">
        <v>-155.53252398967743</v>
      </c>
      <c r="K29" s="2">
        <v>-174.36069250106812</v>
      </c>
      <c r="L29" s="2">
        <v>-190.77333062887192</v>
      </c>
    </row>
    <row r="30" spans="1:12" x14ac:dyDescent="0.25">
      <c r="A30" s="2">
        <v>60000</v>
      </c>
      <c r="B30" s="2">
        <v>-97.581073641777039</v>
      </c>
      <c r="C30" s="2">
        <v>-98.219975829124451</v>
      </c>
      <c r="D30" s="2">
        <v>-99.264070391654968</v>
      </c>
      <c r="E30" s="2">
        <v>-100.96070170402527</v>
      </c>
      <c r="F30" s="2">
        <v>-103.69253158569336</v>
      </c>
      <c r="G30" s="2">
        <v>-108.0256849527359</v>
      </c>
      <c r="H30" s="2">
        <v>-114.7361695766449</v>
      </c>
      <c r="I30" s="2">
        <v>-124.74282085895538</v>
      </c>
      <c r="J30" s="2">
        <v>-138.82175832986832</v>
      </c>
      <c r="K30" s="2">
        <v>-156.98576718568802</v>
      </c>
      <c r="L30" s="2">
        <v>-177.66206711530685</v>
      </c>
    </row>
    <row r="31" spans="1:12" x14ac:dyDescent="0.25">
      <c r="A31" s="2">
        <v>65000</v>
      </c>
      <c r="B31" s="2">
        <v>-97.178742289543152</v>
      </c>
      <c r="C31" s="2">
        <v>-97.560107707977295</v>
      </c>
      <c r="D31" s="2">
        <v>-98.185911774635315</v>
      </c>
      <c r="E31" s="2">
        <v>-99.209308624267578</v>
      </c>
      <c r="F31" s="2">
        <v>-100.87402164936066</v>
      </c>
      <c r="G31" s="2">
        <v>-103.55913639068604</v>
      </c>
      <c r="H31" s="2">
        <v>-107.83015191555023</v>
      </c>
      <c r="I31" s="2">
        <v>-114.47474360466003</v>
      </c>
      <c r="J31" s="2">
        <v>-124.45604801177979</v>
      </c>
      <c r="K31" s="2">
        <v>-138.66395503282547</v>
      </c>
      <c r="L31" s="2">
        <v>-157.3370024561882</v>
      </c>
    </row>
    <row r="32" spans="1:12" x14ac:dyDescent="0.25">
      <c r="A32" s="2">
        <v>70000</v>
      </c>
      <c r="B32" s="2">
        <v>-96.935823559761047</v>
      </c>
      <c r="C32" s="2">
        <v>-97.160950303077698</v>
      </c>
      <c r="D32" s="2">
        <v>-97.531139850616455</v>
      </c>
      <c r="E32" s="2">
        <v>-98.138526082038879</v>
      </c>
      <c r="F32" s="2">
        <v>-99.132418632507324</v>
      </c>
      <c r="G32" s="2">
        <v>-100.75068473815918</v>
      </c>
      <c r="H32" s="2">
        <v>-103.36467623710632</v>
      </c>
      <c r="I32" s="2">
        <v>-107.53282904624939</v>
      </c>
      <c r="J32" s="2">
        <v>-114.04268443584442</v>
      </c>
      <c r="K32" s="2">
        <v>-123.8827258348465</v>
      </c>
      <c r="L32" s="2">
        <v>-138.02748918533325</v>
      </c>
    </row>
    <row r="33" spans="1:12" x14ac:dyDescent="0.25">
      <c r="A33" s="2">
        <v>75000</v>
      </c>
      <c r="B33" s="2">
        <v>-96.791386604309082</v>
      </c>
      <c r="C33" s="2">
        <v>-96.923172473907471</v>
      </c>
      <c r="D33" s="2">
        <v>-97.140207886695862</v>
      </c>
      <c r="E33" s="2">
        <v>-97.497031092643738</v>
      </c>
      <c r="F33" s="2">
        <v>-98.082736134529114</v>
      </c>
      <c r="G33" s="2">
        <v>-99.041670560836792</v>
      </c>
      <c r="H33" s="2">
        <v>-100.60423612594604</v>
      </c>
      <c r="I33" s="2">
        <v>-103.13154757022858</v>
      </c>
      <c r="J33" s="2">
        <v>-107.17006027698517</v>
      </c>
      <c r="K33" s="2">
        <v>-113.49917948246002</v>
      </c>
      <c r="L33" s="2">
        <v>-123.11834096908569</v>
      </c>
    </row>
    <row r="34" spans="1:12" x14ac:dyDescent="0.25">
      <c r="A34" s="2">
        <v>80000</v>
      </c>
      <c r="B34" s="2">
        <v>-96.706315875053406</v>
      </c>
      <c r="C34" s="2">
        <v>-96.783071756362915</v>
      </c>
      <c r="D34" s="2">
        <v>-96.909493207931519</v>
      </c>
      <c r="E34" s="2">
        <v>-97.117677330970764</v>
      </c>
      <c r="F34" s="2">
        <v>-97.46001660823822</v>
      </c>
      <c r="G34" s="2">
        <v>-98.022207617759705</v>
      </c>
      <c r="H34" s="2">
        <v>-98.942875862121582</v>
      </c>
      <c r="I34" s="2">
        <v>-100.4442423582077</v>
      </c>
      <c r="J34" s="2">
        <v>-102.87544131278992</v>
      </c>
      <c r="K34" s="2">
        <v>-106.76777362823486</v>
      </c>
      <c r="L34" s="2">
        <v>-112.88660764694214</v>
      </c>
    </row>
    <row r="35" spans="1:12" x14ac:dyDescent="0.25">
      <c r="A35" s="2">
        <v>85000</v>
      </c>
      <c r="B35" s="2">
        <v>-96.656516194343567</v>
      </c>
      <c r="C35" s="2">
        <v>-96.701085567474365</v>
      </c>
      <c r="D35" s="2">
        <v>-96.774443984031677</v>
      </c>
      <c r="E35" s="2">
        <v>-96.895322203636169</v>
      </c>
      <c r="F35" s="2">
        <v>-97.094297409057617</v>
      </c>
      <c r="G35" s="2">
        <v>-97.421616315841675</v>
      </c>
      <c r="H35" s="2">
        <v>-97.959220409393311</v>
      </c>
      <c r="I35" s="2">
        <v>-98.840102553367615</v>
      </c>
      <c r="J35" s="2">
        <v>-100.27740895748138</v>
      </c>
      <c r="K35" s="2">
        <v>-102.60744392871857</v>
      </c>
      <c r="L35" s="2">
        <v>-106.34429752826691</v>
      </c>
    </row>
    <row r="36" spans="1:12" x14ac:dyDescent="0.25">
      <c r="A36" s="2">
        <v>90000</v>
      </c>
      <c r="B36" s="2">
        <v>-96.627593040466309</v>
      </c>
      <c r="C36" s="2">
        <v>-96.653342247009277</v>
      </c>
      <c r="D36" s="2">
        <v>-96.695810556411743</v>
      </c>
      <c r="E36" s="2">
        <v>-96.765726804733276</v>
      </c>
      <c r="F36" s="2">
        <v>-96.880927681922913</v>
      </c>
      <c r="G36" s="2">
        <v>-97.070693969726563</v>
      </c>
      <c r="H36" s="2">
        <v>-97.382813692092896</v>
      </c>
      <c r="I36" s="2">
        <v>-97.895652055740356</v>
      </c>
      <c r="J36" s="2">
        <v>-98.736211657524109</v>
      </c>
      <c r="K36" s="2">
        <v>-100.10847449302673</v>
      </c>
      <c r="L36" s="2">
        <v>-102.33528912067413</v>
      </c>
    </row>
    <row r="37" spans="1:12" x14ac:dyDescent="0.25">
      <c r="A37" s="2">
        <v>95000</v>
      </c>
      <c r="B37" s="2">
        <v>-96.610784530639648</v>
      </c>
      <c r="C37" s="2">
        <v>-96.625670790672302</v>
      </c>
      <c r="D37" s="2">
        <v>-96.650168299674988</v>
      </c>
      <c r="E37" s="2">
        <v>-96.690535545349121</v>
      </c>
      <c r="F37" s="2">
        <v>-96.75714373588562</v>
      </c>
      <c r="G37" s="2">
        <v>-96.866756677627563</v>
      </c>
      <c r="H37" s="2">
        <v>-97.047358751296997</v>
      </c>
      <c r="I37" s="2">
        <v>-97.34441339969635</v>
      </c>
      <c r="J37" s="2">
        <v>-97.832620143890381</v>
      </c>
      <c r="K37" s="2">
        <v>-98.633036017417908</v>
      </c>
      <c r="L37" s="2">
        <v>-99.94061291217804</v>
      </c>
    </row>
    <row r="38" spans="1:12" x14ac:dyDescent="0.25">
      <c r="A38" s="2">
        <v>100000</v>
      </c>
      <c r="B38" s="2">
        <v>-96.601083874702454</v>
      </c>
      <c r="C38" s="2">
        <v>-96.60966694355011</v>
      </c>
      <c r="D38" s="2">
        <v>-96.623748540878296</v>
      </c>
      <c r="E38" s="2">
        <v>-96.647083759307861</v>
      </c>
      <c r="F38" s="2">
        <v>-96.685439348220825</v>
      </c>
      <c r="G38" s="2">
        <v>-96.748650074005127</v>
      </c>
      <c r="H38" s="2">
        <v>-96.852898597717285</v>
      </c>
      <c r="I38" s="2">
        <v>-97.024470567703247</v>
      </c>
      <c r="J38" s="2">
        <v>-97.306862473487854</v>
      </c>
      <c r="K38" s="2">
        <v>-97.77088463306427</v>
      </c>
      <c r="L38" s="2">
        <v>-98.531961441040039</v>
      </c>
    </row>
  </sheetData>
  <phoneticPr fontId="1" type="noConversion"/>
  <pageMargins left="0.75" right="0.75" top="1" bottom="1" header="0.5" footer="0.5"/>
  <pageSetup orientation="portrait" r:id="rId1"/>
  <headerFooter alignWithMargins="0"/>
  <ignoredErrors>
    <ignoredError sqref="B11:C11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2"/>
  <sheetViews>
    <sheetView workbookViewId="0"/>
  </sheetViews>
  <sheetFormatPr defaultRowHeight="15" x14ac:dyDescent="0.25"/>
  <cols>
    <col min="2" max="2" width="12" bestFit="1" customWidth="1"/>
  </cols>
  <sheetData>
    <row r="1" spans="1:2" x14ac:dyDescent="0.25">
      <c r="A1" s="6" t="s">
        <v>22</v>
      </c>
      <c r="B1" s="6" t="s">
        <v>23</v>
      </c>
    </row>
    <row r="2" spans="1:2" x14ac:dyDescent="0.25">
      <c r="A2">
        <v>-7.0000000000000098</v>
      </c>
      <c r="B2">
        <f t="shared" ref="B2:B51" si="0">Logistic(A2)</f>
        <v>9.1105117462575436E-4</v>
      </c>
    </row>
    <row r="3" spans="1:2" x14ac:dyDescent="0.25">
      <c r="A3">
        <v>-6.8000000000000096</v>
      </c>
      <c r="B3">
        <f t="shared" si="0"/>
        <v>1.1125358287245035E-3</v>
      </c>
    </row>
    <row r="4" spans="1:2" x14ac:dyDescent="0.25">
      <c r="A4">
        <v>-6.6000000000000103</v>
      </c>
      <c r="B4">
        <f t="shared" si="0"/>
        <v>1.3585201231762767E-3</v>
      </c>
    </row>
    <row r="5" spans="1:2" x14ac:dyDescent="0.25">
      <c r="A5">
        <v>-6.4000000000000101</v>
      </c>
      <c r="B5">
        <f t="shared" si="0"/>
        <v>1.6588008729740977E-3</v>
      </c>
    </row>
    <row r="6" spans="1:2" x14ac:dyDescent="0.25">
      <c r="A6">
        <v>-6.2000000000000099</v>
      </c>
      <c r="B6">
        <f t="shared" si="0"/>
        <v>2.0253206603229046E-3</v>
      </c>
    </row>
    <row r="7" spans="1:2" x14ac:dyDescent="0.25">
      <c r="A7">
        <v>-6.0000000000000098</v>
      </c>
      <c r="B7">
        <f t="shared" si="0"/>
        <v>2.4726232513785362E-3</v>
      </c>
    </row>
    <row r="8" spans="1:2" x14ac:dyDescent="0.25">
      <c r="A8">
        <v>-5.8000000000000096</v>
      </c>
      <c r="B8">
        <f t="shared" si="0"/>
        <v>3.0184157658368349E-3</v>
      </c>
    </row>
    <row r="9" spans="1:2" x14ac:dyDescent="0.25">
      <c r="A9">
        <v>-5.6000000000000201</v>
      </c>
      <c r="B9">
        <f t="shared" si="0"/>
        <v>3.684240160509944E-3</v>
      </c>
    </row>
    <row r="10" spans="1:2" x14ac:dyDescent="0.25">
      <c r="A10">
        <v>-5.4000000000000199</v>
      </c>
      <c r="B10">
        <f t="shared" si="0"/>
        <v>4.4962726533412933E-3</v>
      </c>
    </row>
    <row r="11" spans="1:2" x14ac:dyDescent="0.25">
      <c r="A11">
        <v>-5.2000000000000197</v>
      </c>
      <c r="B11">
        <f t="shared" si="0"/>
        <v>5.4862997494637966E-3</v>
      </c>
    </row>
    <row r="12" spans="1:2" x14ac:dyDescent="0.25">
      <c r="A12">
        <v>-5.0000000000000204</v>
      </c>
      <c r="B12">
        <f t="shared" si="0"/>
        <v>6.6928509622812271E-3</v>
      </c>
    </row>
    <row r="13" spans="1:2" x14ac:dyDescent="0.25">
      <c r="A13">
        <v>-4.8000000000000203</v>
      </c>
      <c r="B13">
        <f t="shared" si="0"/>
        <v>8.1625692546367645E-3</v>
      </c>
    </row>
    <row r="14" spans="1:2" x14ac:dyDescent="0.25">
      <c r="A14">
        <v>-4.6000000000000201</v>
      </c>
      <c r="B14">
        <f t="shared" si="0"/>
        <v>9.9518029019236565E-3</v>
      </c>
    </row>
    <row r="15" spans="1:2" x14ac:dyDescent="0.25">
      <c r="A15">
        <v>-4.4000000000000199</v>
      </c>
      <c r="B15">
        <f t="shared" si="0"/>
        <v>1.2128434143960476E-2</v>
      </c>
    </row>
    <row r="16" spans="1:2" x14ac:dyDescent="0.25">
      <c r="A16">
        <v>-4.2000000000000197</v>
      </c>
      <c r="B16">
        <f t="shared" si="0"/>
        <v>1.4774034731090069E-2</v>
      </c>
    </row>
    <row r="17" spans="1:2" x14ac:dyDescent="0.25">
      <c r="A17">
        <v>-4.0000000000000204</v>
      </c>
      <c r="B17">
        <f t="shared" si="0"/>
        <v>1.7986210063099861E-2</v>
      </c>
    </row>
    <row r="18" spans="1:2" x14ac:dyDescent="0.25">
      <c r="A18">
        <v>-3.8000000000000198</v>
      </c>
      <c r="B18">
        <f t="shared" si="0"/>
        <v>2.1881271153688431E-2</v>
      </c>
    </row>
    <row r="19" spans="1:2" x14ac:dyDescent="0.25">
      <c r="A19">
        <v>-3.6000000000000201</v>
      </c>
      <c r="B19">
        <f t="shared" si="0"/>
        <v>2.6596996933221817E-2</v>
      </c>
    </row>
    <row r="20" spans="1:2" x14ac:dyDescent="0.25">
      <c r="A20">
        <v>-3.4000000000000199</v>
      </c>
      <c r="B20">
        <f t="shared" si="0"/>
        <v>3.2295461744070053E-2</v>
      </c>
    </row>
    <row r="21" spans="1:2" x14ac:dyDescent="0.25">
      <c r="A21">
        <v>-3.2000000000000202</v>
      </c>
      <c r="B21">
        <f t="shared" si="0"/>
        <v>3.9165720343589783E-2</v>
      </c>
    </row>
    <row r="22" spans="1:2" x14ac:dyDescent="0.25">
      <c r="A22">
        <v>-3.00000000000002</v>
      </c>
      <c r="B22">
        <f t="shared" si="0"/>
        <v>4.7425873577594757E-2</v>
      </c>
    </row>
    <row r="23" spans="1:2" x14ac:dyDescent="0.25">
      <c r="A23">
        <v>-2.80000000000003</v>
      </c>
      <c r="B23">
        <f t="shared" si="0"/>
        <v>5.7324178516864777E-2</v>
      </c>
    </row>
    <row r="24" spans="1:2" x14ac:dyDescent="0.25">
      <c r="A24">
        <v>-2.6000000000000298</v>
      </c>
      <c r="B24">
        <f t="shared" si="0"/>
        <v>6.9138430058956146E-2</v>
      </c>
    </row>
    <row r="25" spans="1:2" x14ac:dyDescent="0.25">
      <c r="A25">
        <v>-2.4000000000000301</v>
      </c>
      <c r="B25">
        <f t="shared" si="0"/>
        <v>8.3172686398029327E-2</v>
      </c>
    </row>
    <row r="26" spans="1:2" x14ac:dyDescent="0.25">
      <c r="A26">
        <v>-2.2000000000000299</v>
      </c>
      <c r="B26">
        <f t="shared" si="0"/>
        <v>9.975048154592514E-2</v>
      </c>
    </row>
    <row r="27" spans="1:2" x14ac:dyDescent="0.25">
      <c r="A27">
        <v>-2.0000000000000302</v>
      </c>
      <c r="B27">
        <f t="shared" si="0"/>
        <v>0.11920291930437088</v>
      </c>
    </row>
    <row r="28" spans="1:2" x14ac:dyDescent="0.25">
      <c r="A28">
        <v>-1.80000000000003</v>
      </c>
      <c r="B28">
        <f t="shared" si="0"/>
        <v>0.14185106754302979</v>
      </c>
    </row>
    <row r="29" spans="1:2" x14ac:dyDescent="0.25">
      <c r="A29">
        <v>-1.6000000000000301</v>
      </c>
      <c r="B29">
        <f t="shared" si="0"/>
        <v>0.16798160970211029</v>
      </c>
    </row>
    <row r="30" spans="1:2" x14ac:dyDescent="0.25">
      <c r="A30">
        <v>-1.4000000000000301</v>
      </c>
      <c r="B30">
        <f t="shared" si="0"/>
        <v>0.19781611859798431</v>
      </c>
    </row>
    <row r="31" spans="1:2" x14ac:dyDescent="0.25">
      <c r="A31">
        <v>-1.2000000000000299</v>
      </c>
      <c r="B31">
        <f t="shared" si="0"/>
        <v>0.23147520422935486</v>
      </c>
    </row>
    <row r="32" spans="1:2" x14ac:dyDescent="0.25">
      <c r="A32">
        <v>-1.00000000000003</v>
      </c>
      <c r="B32">
        <f t="shared" si="0"/>
        <v>0.26894143223762512</v>
      </c>
    </row>
    <row r="33" spans="1:2" x14ac:dyDescent="0.25">
      <c r="A33">
        <v>-0.80000000000002902</v>
      </c>
      <c r="B33">
        <f t="shared" si="0"/>
        <v>0.31002551317214966</v>
      </c>
    </row>
    <row r="34" spans="1:2" x14ac:dyDescent="0.25">
      <c r="A34">
        <v>-0.60000000000002995</v>
      </c>
      <c r="B34">
        <f t="shared" si="0"/>
        <v>0.35434368252754211</v>
      </c>
    </row>
    <row r="35" spans="1:2" x14ac:dyDescent="0.25">
      <c r="A35">
        <v>-0.400000000000031</v>
      </c>
      <c r="B35">
        <f t="shared" si="0"/>
        <v>0.40131235122680664</v>
      </c>
    </row>
    <row r="36" spans="1:2" x14ac:dyDescent="0.25">
      <c r="A36">
        <v>-0.20000000000002899</v>
      </c>
      <c r="B36">
        <f t="shared" si="0"/>
        <v>0.4501660168170929</v>
      </c>
    </row>
    <row r="37" spans="1:2" x14ac:dyDescent="0.25">
      <c r="A37">
        <v>-4.0856207306205799E-14</v>
      </c>
      <c r="B37">
        <f t="shared" si="0"/>
        <v>0.5</v>
      </c>
    </row>
    <row r="38" spans="1:2" x14ac:dyDescent="0.25">
      <c r="A38">
        <v>0.19999999999999901</v>
      </c>
      <c r="B38">
        <f t="shared" si="0"/>
        <v>0.54983401298522949</v>
      </c>
    </row>
    <row r="39" spans="1:2" x14ac:dyDescent="0.25">
      <c r="A39">
        <v>0.4</v>
      </c>
      <c r="B39">
        <f t="shared" si="0"/>
        <v>0.59868764877319336</v>
      </c>
    </row>
    <row r="40" spans="1:2" x14ac:dyDescent="0.25">
      <c r="A40">
        <v>0.6</v>
      </c>
      <c r="B40">
        <f t="shared" si="0"/>
        <v>0.6456562876701355</v>
      </c>
    </row>
    <row r="41" spans="1:2" x14ac:dyDescent="0.25">
      <c r="A41">
        <v>0.80000000000000104</v>
      </c>
      <c r="B41">
        <f t="shared" si="0"/>
        <v>0.68997448682785034</v>
      </c>
    </row>
    <row r="42" spans="1:2" x14ac:dyDescent="0.25">
      <c r="A42">
        <v>1</v>
      </c>
      <c r="B42">
        <f t="shared" si="0"/>
        <v>0.73105859756469727</v>
      </c>
    </row>
    <row r="43" spans="1:2" x14ac:dyDescent="0.25">
      <c r="A43">
        <v>1.2</v>
      </c>
      <c r="B43">
        <f t="shared" si="0"/>
        <v>0.76852476596832275</v>
      </c>
    </row>
    <row r="44" spans="1:2" x14ac:dyDescent="0.25">
      <c r="A44">
        <v>1.4</v>
      </c>
      <c r="B44">
        <f t="shared" si="0"/>
        <v>0.80218386650085449</v>
      </c>
    </row>
    <row r="45" spans="1:2" x14ac:dyDescent="0.25">
      <c r="A45">
        <v>1.6</v>
      </c>
      <c r="B45">
        <f t="shared" si="0"/>
        <v>0.83201837539672852</v>
      </c>
    </row>
    <row r="46" spans="1:2" x14ac:dyDescent="0.25">
      <c r="A46">
        <v>1.8</v>
      </c>
      <c r="B46">
        <f t="shared" si="0"/>
        <v>0.85814893245697021</v>
      </c>
    </row>
    <row r="47" spans="1:2" x14ac:dyDescent="0.25">
      <c r="A47">
        <v>2</v>
      </c>
      <c r="B47">
        <f t="shared" si="0"/>
        <v>0.88079708814620972</v>
      </c>
    </row>
    <row r="48" spans="1:2" x14ac:dyDescent="0.25">
      <c r="A48">
        <v>2.2000000000000002</v>
      </c>
      <c r="B48">
        <f t="shared" si="0"/>
        <v>0.90024954080581665</v>
      </c>
    </row>
    <row r="49" spans="1:2" x14ac:dyDescent="0.25">
      <c r="A49">
        <v>2.4</v>
      </c>
      <c r="B49">
        <f t="shared" si="0"/>
        <v>0.91682732105255127</v>
      </c>
    </row>
    <row r="50" spans="1:2" x14ac:dyDescent="0.25">
      <c r="A50">
        <v>2.6</v>
      </c>
      <c r="B50">
        <f t="shared" si="0"/>
        <v>0.93086159229278564</v>
      </c>
    </row>
    <row r="51" spans="1:2" x14ac:dyDescent="0.25">
      <c r="A51">
        <v>2.8</v>
      </c>
      <c r="B51">
        <f t="shared" si="0"/>
        <v>0.94267582893371582</v>
      </c>
    </row>
    <row r="52" spans="1:2" x14ac:dyDescent="0.25">
      <c r="A52">
        <v>3</v>
      </c>
      <c r="B52">
        <f t="shared" ref="B52:B72" si="1">Logistic(A52)</f>
        <v>0.95257413387298584</v>
      </c>
    </row>
    <row r="53" spans="1:2" x14ac:dyDescent="0.25">
      <c r="A53">
        <v>3.2</v>
      </c>
      <c r="B53">
        <f t="shared" si="1"/>
        <v>0.96083426475524902</v>
      </c>
    </row>
    <row r="54" spans="1:2" x14ac:dyDescent="0.25">
      <c r="A54">
        <v>3.4</v>
      </c>
      <c r="B54">
        <f t="shared" si="1"/>
        <v>0.96770453453063965</v>
      </c>
    </row>
    <row r="55" spans="1:2" x14ac:dyDescent="0.25">
      <c r="A55">
        <v>3.6</v>
      </c>
      <c r="B55">
        <f t="shared" si="1"/>
        <v>0.97340297698974609</v>
      </c>
    </row>
    <row r="56" spans="1:2" x14ac:dyDescent="0.25">
      <c r="A56">
        <v>3.8</v>
      </c>
      <c r="B56">
        <f t="shared" si="1"/>
        <v>0.97811871767044067</v>
      </c>
    </row>
    <row r="57" spans="1:2" x14ac:dyDescent="0.25">
      <c r="A57">
        <v>4</v>
      </c>
      <c r="B57">
        <f t="shared" si="1"/>
        <v>0.9820137619972229</v>
      </c>
    </row>
    <row r="58" spans="1:2" x14ac:dyDescent="0.25">
      <c r="A58">
        <v>4.1999999999998998</v>
      </c>
      <c r="B58">
        <f t="shared" si="1"/>
        <v>0.98522597551345825</v>
      </c>
    </row>
    <row r="59" spans="1:2" x14ac:dyDescent="0.25">
      <c r="A59">
        <v>4.3999999999999</v>
      </c>
      <c r="B59">
        <f t="shared" si="1"/>
        <v>0.98787158727645874</v>
      </c>
    </row>
    <row r="60" spans="1:2" x14ac:dyDescent="0.25">
      <c r="A60">
        <v>4.5999999999999002</v>
      </c>
      <c r="B60">
        <f t="shared" si="1"/>
        <v>0.99004817008972168</v>
      </c>
    </row>
    <row r="61" spans="1:2" x14ac:dyDescent="0.25">
      <c r="A61">
        <v>4.7999999999999003</v>
      </c>
      <c r="B61">
        <f t="shared" si="1"/>
        <v>0.99183744192123413</v>
      </c>
    </row>
    <row r="62" spans="1:2" x14ac:dyDescent="0.25">
      <c r="A62">
        <v>4.9999999999998996</v>
      </c>
      <c r="B62">
        <f t="shared" si="1"/>
        <v>0.99330717325210571</v>
      </c>
    </row>
    <row r="63" spans="1:2" x14ac:dyDescent="0.25">
      <c r="A63">
        <v>5.1999999999998998</v>
      </c>
      <c r="B63">
        <f t="shared" si="1"/>
        <v>0.99451369047164917</v>
      </c>
    </row>
    <row r="64" spans="1:2" x14ac:dyDescent="0.25">
      <c r="A64">
        <v>5.3999999999999</v>
      </c>
      <c r="B64">
        <f t="shared" si="1"/>
        <v>0.99550372362136841</v>
      </c>
    </row>
    <row r="65" spans="1:2" x14ac:dyDescent="0.25">
      <c r="A65">
        <v>5.5999999999999002</v>
      </c>
      <c r="B65">
        <f t="shared" si="1"/>
        <v>0.99631577730178833</v>
      </c>
    </row>
    <row r="66" spans="1:2" x14ac:dyDescent="0.25">
      <c r="A66">
        <v>5.7999999999999003</v>
      </c>
      <c r="B66">
        <f t="shared" si="1"/>
        <v>0.99698156118392944</v>
      </c>
    </row>
    <row r="67" spans="1:2" x14ac:dyDescent="0.25">
      <c r="A67">
        <v>5.9999999999998996</v>
      </c>
      <c r="B67">
        <f t="shared" si="1"/>
        <v>0.9975273609161377</v>
      </c>
    </row>
    <row r="68" spans="1:2" x14ac:dyDescent="0.25">
      <c r="A68">
        <v>6.1999999999998998</v>
      </c>
      <c r="B68">
        <f t="shared" si="1"/>
        <v>0.997974693775177</v>
      </c>
    </row>
    <row r="69" spans="1:2" x14ac:dyDescent="0.25">
      <c r="A69">
        <v>6.3999999999999</v>
      </c>
      <c r="B69">
        <f t="shared" si="1"/>
        <v>0.99834120273590088</v>
      </c>
    </row>
    <row r="70" spans="1:2" x14ac:dyDescent="0.25">
      <c r="A70">
        <v>6.5999999999999002</v>
      </c>
      <c r="B70">
        <f t="shared" si="1"/>
        <v>0.9986414909362793</v>
      </c>
    </row>
    <row r="71" spans="1:2" x14ac:dyDescent="0.25">
      <c r="A71">
        <v>6.7999999999999003</v>
      </c>
      <c r="B71">
        <f t="shared" si="1"/>
        <v>0.99888747930526733</v>
      </c>
    </row>
    <row r="72" spans="1:2" x14ac:dyDescent="0.25">
      <c r="A72">
        <v>6.9999999999998996</v>
      </c>
      <c r="B72">
        <f t="shared" si="1"/>
        <v>0.99908894300460815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One input</vt:lpstr>
      <vt:lpstr>Two inputs</vt:lpstr>
      <vt:lpstr>Logistic function</vt:lpstr>
    </vt:vector>
  </TitlesOfParts>
  <Company>Kelley School of Business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</cp:lastModifiedBy>
  <dcterms:created xsi:type="dcterms:W3CDTF">2004-04-15T01:35:16Z</dcterms:created>
  <dcterms:modified xsi:type="dcterms:W3CDTF">2012-11-01T14:09:53Z</dcterms:modified>
</cp:coreProperties>
</file>